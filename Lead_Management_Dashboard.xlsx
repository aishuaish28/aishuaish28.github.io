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19496E0-4CCF-4692-8D08-B564C755A791}" xr6:coauthVersionLast="41" xr6:coauthVersionMax="41" xr10:uidLastSave="{00000000-0000-0000-0000-000000000000}"/>
  <bookViews>
    <workbookView xWindow="-120" yWindow="-120" windowWidth="24240" windowHeight="13140" tabRatio="500" activeTab="2" xr2:uid="{00000000-000D-0000-FFFF-FFFF00000000}"/>
  </bookViews>
  <sheets>
    <sheet name="Dashboard" sheetId="1" r:id="rId1"/>
    <sheet name="Analysis" sheetId="2" r:id="rId2"/>
    <sheet name="Lead_Data" sheetId="3" r:id="rId3"/>
    <sheet name="Settings" sheetId="4" r:id="rId4"/>
  </sheets>
  <definedNames>
    <definedName name="_xlnm._FilterDatabase" localSheetId="2" hidden="1">Lead_Data!$A$1:$U$600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2" i="3" l="1"/>
  <c r="B2" i="2"/>
  <c r="B6" i="2" s="1"/>
  <c r="E6" i="1" s="1"/>
  <c r="B5" i="2" l="1"/>
  <c r="B6" i="1" s="1"/>
  <c r="R71" i="3"/>
  <c r="T600" i="3"/>
  <c r="R600" i="3"/>
  <c r="P600" i="3"/>
  <c r="O600" i="3"/>
  <c r="U600" i="3" s="1"/>
  <c r="N600" i="3"/>
  <c r="T599" i="3"/>
  <c r="S599" i="3"/>
  <c r="R599" i="3"/>
  <c r="P599" i="3"/>
  <c r="O599" i="3"/>
  <c r="N599" i="3"/>
  <c r="T598" i="3"/>
  <c r="S598" i="3"/>
  <c r="R598" i="3"/>
  <c r="P598" i="3"/>
  <c r="O598" i="3"/>
  <c r="N598" i="3"/>
  <c r="T597" i="3"/>
  <c r="S597" i="3"/>
  <c r="R597" i="3"/>
  <c r="P597" i="3"/>
  <c r="O597" i="3"/>
  <c r="N597" i="3"/>
  <c r="T596" i="3"/>
  <c r="S596" i="3"/>
  <c r="R596" i="3"/>
  <c r="P596" i="3"/>
  <c r="O596" i="3"/>
  <c r="N596" i="3"/>
  <c r="T595" i="3"/>
  <c r="S595" i="3"/>
  <c r="R595" i="3"/>
  <c r="P595" i="3"/>
  <c r="O595" i="3"/>
  <c r="N595" i="3"/>
  <c r="T594" i="3"/>
  <c r="S594" i="3"/>
  <c r="R594" i="3"/>
  <c r="P594" i="3"/>
  <c r="O594" i="3"/>
  <c r="N594" i="3"/>
  <c r="T593" i="3"/>
  <c r="S593" i="3"/>
  <c r="R593" i="3"/>
  <c r="P593" i="3"/>
  <c r="O593" i="3"/>
  <c r="N593" i="3"/>
  <c r="T592" i="3"/>
  <c r="S592" i="3"/>
  <c r="R592" i="3"/>
  <c r="P592" i="3"/>
  <c r="O592" i="3"/>
  <c r="N592" i="3"/>
  <c r="T591" i="3"/>
  <c r="S591" i="3"/>
  <c r="R591" i="3"/>
  <c r="P591" i="3"/>
  <c r="O591" i="3"/>
  <c r="N591" i="3"/>
  <c r="T590" i="3"/>
  <c r="S590" i="3"/>
  <c r="R590" i="3"/>
  <c r="P590" i="3"/>
  <c r="O590" i="3"/>
  <c r="N590" i="3"/>
  <c r="T589" i="3"/>
  <c r="S589" i="3"/>
  <c r="R589" i="3"/>
  <c r="P589" i="3"/>
  <c r="O589" i="3"/>
  <c r="N589" i="3"/>
  <c r="T588" i="3"/>
  <c r="S588" i="3"/>
  <c r="R588" i="3"/>
  <c r="P588" i="3"/>
  <c r="O588" i="3"/>
  <c r="N588" i="3"/>
  <c r="T587" i="3"/>
  <c r="S587" i="3"/>
  <c r="R587" i="3"/>
  <c r="P587" i="3"/>
  <c r="O587" i="3"/>
  <c r="N587" i="3"/>
  <c r="T586" i="3"/>
  <c r="S586" i="3"/>
  <c r="R586" i="3"/>
  <c r="P586" i="3"/>
  <c r="O586" i="3"/>
  <c r="N586" i="3"/>
  <c r="T585" i="3"/>
  <c r="S585" i="3"/>
  <c r="R585" i="3"/>
  <c r="P585" i="3"/>
  <c r="O585" i="3"/>
  <c r="N585" i="3"/>
  <c r="T584" i="3"/>
  <c r="S584" i="3"/>
  <c r="R584" i="3"/>
  <c r="P584" i="3"/>
  <c r="O584" i="3"/>
  <c r="N584" i="3"/>
  <c r="T583" i="3"/>
  <c r="S583" i="3"/>
  <c r="R583" i="3"/>
  <c r="P583" i="3"/>
  <c r="O583" i="3"/>
  <c r="N583" i="3"/>
  <c r="T582" i="3"/>
  <c r="S582" i="3"/>
  <c r="R582" i="3"/>
  <c r="P582" i="3"/>
  <c r="O582" i="3"/>
  <c r="N582" i="3"/>
  <c r="T581" i="3"/>
  <c r="S581" i="3"/>
  <c r="R581" i="3"/>
  <c r="P581" i="3"/>
  <c r="O581" i="3"/>
  <c r="N581" i="3"/>
  <c r="T580" i="3"/>
  <c r="S580" i="3"/>
  <c r="R580" i="3"/>
  <c r="P580" i="3"/>
  <c r="O580" i="3"/>
  <c r="N580" i="3"/>
  <c r="T579" i="3"/>
  <c r="S579" i="3"/>
  <c r="R579" i="3"/>
  <c r="P579" i="3"/>
  <c r="O579" i="3"/>
  <c r="N579" i="3"/>
  <c r="T578" i="3"/>
  <c r="S578" i="3"/>
  <c r="R578" i="3"/>
  <c r="P578" i="3"/>
  <c r="O578" i="3"/>
  <c r="N578" i="3"/>
  <c r="T577" i="3"/>
  <c r="S577" i="3"/>
  <c r="R577" i="3"/>
  <c r="P577" i="3"/>
  <c r="O577" i="3"/>
  <c r="N577" i="3"/>
  <c r="T576" i="3"/>
  <c r="S576" i="3"/>
  <c r="R576" i="3"/>
  <c r="P576" i="3"/>
  <c r="O576" i="3"/>
  <c r="N576" i="3"/>
  <c r="T575" i="3"/>
  <c r="S575" i="3"/>
  <c r="R575" i="3"/>
  <c r="P575" i="3"/>
  <c r="O575" i="3"/>
  <c r="N575" i="3"/>
  <c r="T574" i="3"/>
  <c r="S574" i="3"/>
  <c r="R574" i="3"/>
  <c r="P574" i="3"/>
  <c r="O574" i="3"/>
  <c r="N574" i="3"/>
  <c r="T573" i="3"/>
  <c r="S573" i="3"/>
  <c r="R573" i="3"/>
  <c r="P573" i="3"/>
  <c r="O573" i="3"/>
  <c r="N573" i="3"/>
  <c r="T572" i="3"/>
  <c r="S572" i="3"/>
  <c r="R572" i="3"/>
  <c r="P572" i="3"/>
  <c r="O572" i="3"/>
  <c r="N572" i="3"/>
  <c r="T571" i="3"/>
  <c r="S571" i="3"/>
  <c r="R571" i="3"/>
  <c r="P571" i="3"/>
  <c r="O571" i="3"/>
  <c r="N571" i="3"/>
  <c r="T570" i="3"/>
  <c r="S570" i="3"/>
  <c r="R570" i="3"/>
  <c r="P570" i="3"/>
  <c r="O570" i="3"/>
  <c r="N570" i="3"/>
  <c r="T569" i="3"/>
  <c r="S569" i="3"/>
  <c r="R569" i="3"/>
  <c r="P569" i="3"/>
  <c r="O569" i="3"/>
  <c r="N569" i="3"/>
  <c r="T568" i="3"/>
  <c r="S568" i="3"/>
  <c r="R568" i="3"/>
  <c r="P568" i="3"/>
  <c r="O568" i="3"/>
  <c r="N568" i="3"/>
  <c r="T567" i="3"/>
  <c r="S567" i="3"/>
  <c r="R567" i="3"/>
  <c r="P567" i="3"/>
  <c r="O567" i="3"/>
  <c r="N567" i="3"/>
  <c r="T566" i="3"/>
  <c r="S566" i="3"/>
  <c r="R566" i="3"/>
  <c r="P566" i="3"/>
  <c r="O566" i="3"/>
  <c r="N566" i="3"/>
  <c r="T565" i="3"/>
  <c r="S565" i="3"/>
  <c r="R565" i="3"/>
  <c r="P565" i="3"/>
  <c r="O565" i="3"/>
  <c r="N565" i="3"/>
  <c r="T564" i="3"/>
  <c r="S564" i="3"/>
  <c r="R564" i="3"/>
  <c r="P564" i="3"/>
  <c r="O564" i="3"/>
  <c r="N564" i="3"/>
  <c r="T563" i="3"/>
  <c r="S563" i="3"/>
  <c r="R563" i="3"/>
  <c r="P563" i="3"/>
  <c r="O563" i="3"/>
  <c r="N563" i="3"/>
  <c r="T562" i="3"/>
  <c r="S562" i="3"/>
  <c r="R562" i="3"/>
  <c r="P562" i="3"/>
  <c r="O562" i="3"/>
  <c r="N562" i="3"/>
  <c r="T561" i="3"/>
  <c r="S561" i="3"/>
  <c r="R561" i="3"/>
  <c r="P561" i="3"/>
  <c r="O561" i="3"/>
  <c r="N561" i="3"/>
  <c r="T560" i="3"/>
  <c r="S560" i="3"/>
  <c r="R560" i="3"/>
  <c r="P560" i="3"/>
  <c r="O560" i="3"/>
  <c r="N560" i="3"/>
  <c r="T559" i="3"/>
  <c r="S559" i="3"/>
  <c r="R559" i="3"/>
  <c r="P559" i="3"/>
  <c r="O559" i="3"/>
  <c r="N559" i="3"/>
  <c r="T558" i="3"/>
  <c r="R558" i="3"/>
  <c r="P558" i="3"/>
  <c r="O558" i="3"/>
  <c r="N558" i="3"/>
  <c r="T557" i="3"/>
  <c r="R557" i="3"/>
  <c r="P557" i="3"/>
  <c r="O557" i="3"/>
  <c r="S557" i="3" s="1"/>
  <c r="N557" i="3"/>
  <c r="T556" i="3"/>
  <c r="S556" i="3"/>
  <c r="R556" i="3"/>
  <c r="P556" i="3"/>
  <c r="O556" i="3"/>
  <c r="N556" i="3"/>
  <c r="T555" i="3"/>
  <c r="R555" i="3"/>
  <c r="P555" i="3"/>
  <c r="O555" i="3"/>
  <c r="S555" i="3" s="1"/>
  <c r="N555" i="3"/>
  <c r="T554" i="3"/>
  <c r="S554" i="3"/>
  <c r="R554" i="3"/>
  <c r="P554" i="3"/>
  <c r="O554" i="3"/>
  <c r="N554" i="3"/>
  <c r="T553" i="3"/>
  <c r="R553" i="3"/>
  <c r="P553" i="3"/>
  <c r="O553" i="3"/>
  <c r="S553" i="3" s="1"/>
  <c r="N553" i="3"/>
  <c r="T552" i="3"/>
  <c r="R552" i="3"/>
  <c r="P552" i="3"/>
  <c r="O552" i="3"/>
  <c r="S552" i="3" s="1"/>
  <c r="N552" i="3"/>
  <c r="T551" i="3"/>
  <c r="R551" i="3"/>
  <c r="P551" i="3"/>
  <c r="O551" i="3"/>
  <c r="S551" i="3" s="1"/>
  <c r="N551" i="3"/>
  <c r="T550" i="3"/>
  <c r="R550" i="3"/>
  <c r="P550" i="3"/>
  <c r="O550" i="3"/>
  <c r="N550" i="3"/>
  <c r="T549" i="3"/>
  <c r="R549" i="3"/>
  <c r="P549" i="3"/>
  <c r="O549" i="3"/>
  <c r="S549" i="3" s="1"/>
  <c r="N549" i="3"/>
  <c r="T548" i="3"/>
  <c r="S548" i="3"/>
  <c r="R548" i="3"/>
  <c r="P548" i="3"/>
  <c r="O548" i="3"/>
  <c r="N548" i="3"/>
  <c r="T547" i="3"/>
  <c r="R547" i="3"/>
  <c r="P547" i="3"/>
  <c r="O547" i="3"/>
  <c r="S547" i="3" s="1"/>
  <c r="N547" i="3"/>
  <c r="T546" i="3"/>
  <c r="S546" i="3"/>
  <c r="R546" i="3"/>
  <c r="P546" i="3"/>
  <c r="O546" i="3"/>
  <c r="N546" i="3"/>
  <c r="T545" i="3"/>
  <c r="R545" i="3"/>
  <c r="P545" i="3"/>
  <c r="O545" i="3"/>
  <c r="S545" i="3" s="1"/>
  <c r="N545" i="3"/>
  <c r="T544" i="3"/>
  <c r="R544" i="3"/>
  <c r="P544" i="3"/>
  <c r="O544" i="3"/>
  <c r="S544" i="3" s="1"/>
  <c r="N544" i="3"/>
  <c r="T543" i="3"/>
  <c r="R543" i="3"/>
  <c r="P543" i="3"/>
  <c r="O543" i="3"/>
  <c r="S543" i="3" s="1"/>
  <c r="N543" i="3"/>
  <c r="T542" i="3"/>
  <c r="R542" i="3"/>
  <c r="P542" i="3"/>
  <c r="O542" i="3"/>
  <c r="N542" i="3"/>
  <c r="T541" i="3"/>
  <c r="R541" i="3"/>
  <c r="P541" i="3"/>
  <c r="O541" i="3"/>
  <c r="S541" i="3" s="1"/>
  <c r="N541" i="3"/>
  <c r="T540" i="3"/>
  <c r="S540" i="3"/>
  <c r="R540" i="3"/>
  <c r="P540" i="3"/>
  <c r="O540" i="3"/>
  <c r="N540" i="3"/>
  <c r="T539" i="3"/>
  <c r="R539" i="3"/>
  <c r="P539" i="3"/>
  <c r="O539" i="3"/>
  <c r="S539" i="3" s="1"/>
  <c r="N539" i="3"/>
  <c r="T538" i="3"/>
  <c r="S538" i="3"/>
  <c r="R538" i="3"/>
  <c r="P538" i="3"/>
  <c r="O538" i="3"/>
  <c r="N538" i="3"/>
  <c r="T537" i="3"/>
  <c r="R537" i="3"/>
  <c r="P537" i="3"/>
  <c r="O537" i="3"/>
  <c r="S537" i="3" s="1"/>
  <c r="N537" i="3"/>
  <c r="T536" i="3"/>
  <c r="R536" i="3"/>
  <c r="P536" i="3"/>
  <c r="O536" i="3"/>
  <c r="S536" i="3" s="1"/>
  <c r="N536" i="3"/>
  <c r="T535" i="3"/>
  <c r="R535" i="3"/>
  <c r="P535" i="3"/>
  <c r="O535" i="3"/>
  <c r="S535" i="3" s="1"/>
  <c r="N535" i="3"/>
  <c r="T534" i="3"/>
  <c r="R534" i="3"/>
  <c r="P534" i="3"/>
  <c r="O534" i="3"/>
  <c r="N534" i="3"/>
  <c r="T533" i="3"/>
  <c r="R533" i="3"/>
  <c r="P533" i="3"/>
  <c r="O533" i="3"/>
  <c r="S533" i="3" s="1"/>
  <c r="N533" i="3"/>
  <c r="T532" i="3"/>
  <c r="S532" i="3"/>
  <c r="R532" i="3"/>
  <c r="P532" i="3"/>
  <c r="O532" i="3"/>
  <c r="N532" i="3"/>
  <c r="T531" i="3"/>
  <c r="R531" i="3"/>
  <c r="P531" i="3"/>
  <c r="O531" i="3"/>
  <c r="S531" i="3" s="1"/>
  <c r="N531" i="3"/>
  <c r="T530" i="3"/>
  <c r="S530" i="3"/>
  <c r="R530" i="3"/>
  <c r="P530" i="3"/>
  <c r="O530" i="3"/>
  <c r="N530" i="3"/>
  <c r="T529" i="3"/>
  <c r="R529" i="3"/>
  <c r="P529" i="3"/>
  <c r="O529" i="3"/>
  <c r="S529" i="3" s="1"/>
  <c r="N529" i="3"/>
  <c r="T528" i="3"/>
  <c r="R528" i="3"/>
  <c r="P528" i="3"/>
  <c r="O528" i="3"/>
  <c r="S528" i="3" s="1"/>
  <c r="N528" i="3"/>
  <c r="T527" i="3"/>
  <c r="R527" i="3"/>
  <c r="P527" i="3"/>
  <c r="O527" i="3"/>
  <c r="S527" i="3" s="1"/>
  <c r="N527" i="3"/>
  <c r="T526" i="3"/>
  <c r="R526" i="3"/>
  <c r="P526" i="3"/>
  <c r="O526" i="3"/>
  <c r="N526" i="3"/>
  <c r="T525" i="3"/>
  <c r="R525" i="3"/>
  <c r="P525" i="3"/>
  <c r="O525" i="3"/>
  <c r="S525" i="3" s="1"/>
  <c r="N525" i="3"/>
  <c r="T524" i="3"/>
  <c r="S524" i="3"/>
  <c r="R524" i="3"/>
  <c r="P524" i="3"/>
  <c r="O524" i="3"/>
  <c r="N524" i="3"/>
  <c r="T523" i="3"/>
  <c r="R523" i="3"/>
  <c r="P523" i="3"/>
  <c r="O523" i="3"/>
  <c r="S523" i="3" s="1"/>
  <c r="N523" i="3"/>
  <c r="T522" i="3"/>
  <c r="S522" i="3"/>
  <c r="R522" i="3"/>
  <c r="P522" i="3"/>
  <c r="O522" i="3"/>
  <c r="N522" i="3"/>
  <c r="T521" i="3"/>
  <c r="R521" i="3"/>
  <c r="P521" i="3"/>
  <c r="O521" i="3"/>
  <c r="S521" i="3" s="1"/>
  <c r="N521" i="3"/>
  <c r="T520" i="3"/>
  <c r="R520" i="3"/>
  <c r="P520" i="3"/>
  <c r="O520" i="3"/>
  <c r="S520" i="3" s="1"/>
  <c r="N520" i="3"/>
  <c r="T519" i="3"/>
  <c r="R519" i="3"/>
  <c r="P519" i="3"/>
  <c r="O519" i="3"/>
  <c r="S519" i="3" s="1"/>
  <c r="N519" i="3"/>
  <c r="T518" i="3"/>
  <c r="R518" i="3"/>
  <c r="P518" i="3"/>
  <c r="O518" i="3"/>
  <c r="N518" i="3"/>
  <c r="T517" i="3"/>
  <c r="R517" i="3"/>
  <c r="P517" i="3"/>
  <c r="O517" i="3"/>
  <c r="S517" i="3" s="1"/>
  <c r="N517" i="3"/>
  <c r="T516" i="3"/>
  <c r="S516" i="3"/>
  <c r="R516" i="3"/>
  <c r="P516" i="3"/>
  <c r="O516" i="3"/>
  <c r="N516" i="3"/>
  <c r="T515" i="3"/>
  <c r="R515" i="3"/>
  <c r="P515" i="3"/>
  <c r="O515" i="3"/>
  <c r="S515" i="3" s="1"/>
  <c r="N515" i="3"/>
  <c r="T514" i="3"/>
  <c r="S514" i="3"/>
  <c r="R514" i="3"/>
  <c r="P514" i="3"/>
  <c r="O514" i="3"/>
  <c r="N514" i="3"/>
  <c r="T513" i="3"/>
  <c r="R513" i="3"/>
  <c r="P513" i="3"/>
  <c r="O513" i="3"/>
  <c r="S513" i="3" s="1"/>
  <c r="N513" i="3"/>
  <c r="T512" i="3"/>
  <c r="S512" i="3"/>
  <c r="R512" i="3"/>
  <c r="P512" i="3"/>
  <c r="O512" i="3"/>
  <c r="N512" i="3"/>
  <c r="T511" i="3"/>
  <c r="R511" i="3"/>
  <c r="P511" i="3"/>
  <c r="O511" i="3"/>
  <c r="S511" i="3" s="1"/>
  <c r="N511" i="3"/>
  <c r="T510" i="3"/>
  <c r="S510" i="3"/>
  <c r="R510" i="3"/>
  <c r="P510" i="3"/>
  <c r="O510" i="3"/>
  <c r="N510" i="3"/>
  <c r="T509" i="3"/>
  <c r="R509" i="3"/>
  <c r="P509" i="3"/>
  <c r="O509" i="3"/>
  <c r="S509" i="3" s="1"/>
  <c r="N509" i="3"/>
  <c r="T508" i="3"/>
  <c r="S508" i="3"/>
  <c r="R508" i="3"/>
  <c r="P508" i="3"/>
  <c r="O508" i="3"/>
  <c r="N508" i="3"/>
  <c r="T507" i="3"/>
  <c r="R507" i="3"/>
  <c r="P507" i="3"/>
  <c r="O507" i="3"/>
  <c r="S507" i="3" s="1"/>
  <c r="N507" i="3"/>
  <c r="T506" i="3"/>
  <c r="S506" i="3"/>
  <c r="R506" i="3"/>
  <c r="P506" i="3"/>
  <c r="O506" i="3"/>
  <c r="N506" i="3"/>
  <c r="T505" i="3"/>
  <c r="R505" i="3"/>
  <c r="P505" i="3"/>
  <c r="O505" i="3"/>
  <c r="S505" i="3" s="1"/>
  <c r="N505" i="3"/>
  <c r="T504" i="3"/>
  <c r="S504" i="3"/>
  <c r="R504" i="3"/>
  <c r="P504" i="3"/>
  <c r="O504" i="3"/>
  <c r="N504" i="3"/>
  <c r="T503" i="3"/>
  <c r="R503" i="3"/>
  <c r="P503" i="3"/>
  <c r="O503" i="3"/>
  <c r="S503" i="3" s="1"/>
  <c r="N503" i="3"/>
  <c r="T502" i="3"/>
  <c r="S502" i="3"/>
  <c r="R502" i="3"/>
  <c r="P502" i="3"/>
  <c r="O502" i="3"/>
  <c r="N502" i="3"/>
  <c r="T501" i="3"/>
  <c r="R501" i="3"/>
  <c r="P501" i="3"/>
  <c r="O501" i="3"/>
  <c r="S501" i="3" s="1"/>
  <c r="N501" i="3"/>
  <c r="T500" i="3"/>
  <c r="S500" i="3"/>
  <c r="R500" i="3"/>
  <c r="P500" i="3"/>
  <c r="O500" i="3"/>
  <c r="N500" i="3"/>
  <c r="T499" i="3"/>
  <c r="R499" i="3"/>
  <c r="P499" i="3"/>
  <c r="O499" i="3"/>
  <c r="S499" i="3" s="1"/>
  <c r="N499" i="3"/>
  <c r="T498" i="3"/>
  <c r="S498" i="3"/>
  <c r="R498" i="3"/>
  <c r="P498" i="3"/>
  <c r="O498" i="3"/>
  <c r="N498" i="3"/>
  <c r="T497" i="3"/>
  <c r="R497" i="3"/>
  <c r="P497" i="3"/>
  <c r="O497" i="3"/>
  <c r="S497" i="3" s="1"/>
  <c r="N497" i="3"/>
  <c r="T496" i="3"/>
  <c r="S496" i="3"/>
  <c r="R496" i="3"/>
  <c r="P496" i="3"/>
  <c r="O496" i="3"/>
  <c r="N496" i="3"/>
  <c r="T495" i="3"/>
  <c r="R495" i="3"/>
  <c r="P495" i="3"/>
  <c r="O495" i="3"/>
  <c r="S495" i="3" s="1"/>
  <c r="N495" i="3"/>
  <c r="T494" i="3"/>
  <c r="S494" i="3"/>
  <c r="R494" i="3"/>
  <c r="P494" i="3"/>
  <c r="O494" i="3"/>
  <c r="N494" i="3"/>
  <c r="T493" i="3"/>
  <c r="R493" i="3"/>
  <c r="P493" i="3"/>
  <c r="O493" i="3"/>
  <c r="S493" i="3" s="1"/>
  <c r="N493" i="3"/>
  <c r="T492" i="3"/>
  <c r="S492" i="3"/>
  <c r="R492" i="3"/>
  <c r="P492" i="3"/>
  <c r="O492" i="3"/>
  <c r="N492" i="3"/>
  <c r="T491" i="3"/>
  <c r="R491" i="3"/>
  <c r="P491" i="3"/>
  <c r="O491" i="3"/>
  <c r="S491" i="3" s="1"/>
  <c r="N491" i="3"/>
  <c r="T490" i="3"/>
  <c r="S490" i="3"/>
  <c r="R490" i="3"/>
  <c r="P490" i="3"/>
  <c r="O490" i="3"/>
  <c r="N490" i="3"/>
  <c r="T489" i="3"/>
  <c r="R489" i="3"/>
  <c r="P489" i="3"/>
  <c r="O489" i="3"/>
  <c r="S489" i="3" s="1"/>
  <c r="N489" i="3"/>
  <c r="T488" i="3"/>
  <c r="S488" i="3"/>
  <c r="R488" i="3"/>
  <c r="P488" i="3"/>
  <c r="O488" i="3"/>
  <c r="N488" i="3"/>
  <c r="T487" i="3"/>
  <c r="R487" i="3"/>
  <c r="P487" i="3"/>
  <c r="O487" i="3"/>
  <c r="S487" i="3" s="1"/>
  <c r="N487" i="3"/>
  <c r="T486" i="3"/>
  <c r="S486" i="3"/>
  <c r="R486" i="3"/>
  <c r="P486" i="3"/>
  <c r="O486" i="3"/>
  <c r="N486" i="3"/>
  <c r="T485" i="3"/>
  <c r="R485" i="3"/>
  <c r="P485" i="3"/>
  <c r="O485" i="3"/>
  <c r="S485" i="3" s="1"/>
  <c r="N485" i="3"/>
  <c r="T484" i="3"/>
  <c r="S484" i="3"/>
  <c r="R484" i="3"/>
  <c r="P484" i="3"/>
  <c r="O484" i="3"/>
  <c r="N484" i="3"/>
  <c r="T483" i="3"/>
  <c r="R483" i="3"/>
  <c r="P483" i="3"/>
  <c r="O483" i="3"/>
  <c r="S483" i="3" s="1"/>
  <c r="N483" i="3"/>
  <c r="T482" i="3"/>
  <c r="S482" i="3"/>
  <c r="R482" i="3"/>
  <c r="P482" i="3"/>
  <c r="O482" i="3"/>
  <c r="N482" i="3"/>
  <c r="T481" i="3"/>
  <c r="R481" i="3"/>
  <c r="P481" i="3"/>
  <c r="O481" i="3"/>
  <c r="S481" i="3" s="1"/>
  <c r="N481" i="3"/>
  <c r="T480" i="3"/>
  <c r="S480" i="3"/>
  <c r="R480" i="3"/>
  <c r="P480" i="3"/>
  <c r="O480" i="3"/>
  <c r="N480" i="3"/>
  <c r="T479" i="3"/>
  <c r="R479" i="3"/>
  <c r="P479" i="3"/>
  <c r="O479" i="3"/>
  <c r="S479" i="3" s="1"/>
  <c r="N479" i="3"/>
  <c r="T478" i="3"/>
  <c r="S478" i="3"/>
  <c r="R478" i="3"/>
  <c r="P478" i="3"/>
  <c r="O478" i="3"/>
  <c r="N478" i="3"/>
  <c r="T477" i="3"/>
  <c r="R477" i="3"/>
  <c r="P477" i="3"/>
  <c r="O477" i="3"/>
  <c r="S477" i="3" s="1"/>
  <c r="N477" i="3"/>
  <c r="T476" i="3"/>
  <c r="R476" i="3"/>
  <c r="P476" i="3"/>
  <c r="O476" i="3"/>
  <c r="S476" i="3" s="1"/>
  <c r="N476" i="3"/>
  <c r="T475" i="3"/>
  <c r="R475" i="3"/>
  <c r="P475" i="3"/>
  <c r="O475" i="3"/>
  <c r="S475" i="3" s="1"/>
  <c r="N475" i="3"/>
  <c r="T474" i="3"/>
  <c r="R474" i="3"/>
  <c r="P474" i="3"/>
  <c r="O474" i="3"/>
  <c r="S474" i="3" s="1"/>
  <c r="N474" i="3"/>
  <c r="T473" i="3"/>
  <c r="R473" i="3"/>
  <c r="P473" i="3"/>
  <c r="O473" i="3"/>
  <c r="S473" i="3" s="1"/>
  <c r="N473" i="3"/>
  <c r="T472" i="3"/>
  <c r="R472" i="3"/>
  <c r="P472" i="3"/>
  <c r="O472" i="3"/>
  <c r="S472" i="3" s="1"/>
  <c r="N472" i="3"/>
  <c r="T471" i="3"/>
  <c r="R471" i="3"/>
  <c r="P471" i="3"/>
  <c r="O471" i="3"/>
  <c r="S471" i="3" s="1"/>
  <c r="N471" i="3"/>
  <c r="T470" i="3"/>
  <c r="R470" i="3"/>
  <c r="P470" i="3"/>
  <c r="O470" i="3"/>
  <c r="S470" i="3" s="1"/>
  <c r="N470" i="3"/>
  <c r="T469" i="3"/>
  <c r="R469" i="3"/>
  <c r="P469" i="3"/>
  <c r="O469" i="3"/>
  <c r="S469" i="3" s="1"/>
  <c r="N469" i="3"/>
  <c r="T468" i="3"/>
  <c r="R468" i="3"/>
  <c r="P468" i="3"/>
  <c r="O468" i="3"/>
  <c r="S468" i="3" s="1"/>
  <c r="N468" i="3"/>
  <c r="T467" i="3"/>
  <c r="R467" i="3"/>
  <c r="P467" i="3"/>
  <c r="O467" i="3"/>
  <c r="S467" i="3" s="1"/>
  <c r="N467" i="3"/>
  <c r="T466" i="3"/>
  <c r="R466" i="3"/>
  <c r="P466" i="3"/>
  <c r="O466" i="3"/>
  <c r="S466" i="3" s="1"/>
  <c r="N466" i="3"/>
  <c r="T465" i="3"/>
  <c r="R465" i="3"/>
  <c r="P465" i="3"/>
  <c r="O465" i="3"/>
  <c r="S465" i="3" s="1"/>
  <c r="N465" i="3"/>
  <c r="T464" i="3"/>
  <c r="R464" i="3"/>
  <c r="P464" i="3"/>
  <c r="O464" i="3"/>
  <c r="S464" i="3" s="1"/>
  <c r="N464" i="3"/>
  <c r="T463" i="3"/>
  <c r="R463" i="3"/>
  <c r="P463" i="3"/>
  <c r="O463" i="3"/>
  <c r="S463" i="3" s="1"/>
  <c r="N463" i="3"/>
  <c r="T462" i="3"/>
  <c r="R462" i="3"/>
  <c r="P462" i="3"/>
  <c r="O462" i="3"/>
  <c r="S462" i="3" s="1"/>
  <c r="N462" i="3"/>
  <c r="T461" i="3"/>
  <c r="R461" i="3"/>
  <c r="P461" i="3"/>
  <c r="O461" i="3"/>
  <c r="S461" i="3" s="1"/>
  <c r="N461" i="3"/>
  <c r="T460" i="3"/>
  <c r="R460" i="3"/>
  <c r="P460" i="3"/>
  <c r="O460" i="3"/>
  <c r="S460" i="3" s="1"/>
  <c r="N460" i="3"/>
  <c r="T459" i="3"/>
  <c r="R459" i="3"/>
  <c r="P459" i="3"/>
  <c r="O459" i="3"/>
  <c r="S459" i="3" s="1"/>
  <c r="N459" i="3"/>
  <c r="T458" i="3"/>
  <c r="R458" i="3"/>
  <c r="P458" i="3"/>
  <c r="O458" i="3"/>
  <c r="S458" i="3" s="1"/>
  <c r="N458" i="3"/>
  <c r="T457" i="3"/>
  <c r="R457" i="3"/>
  <c r="P457" i="3"/>
  <c r="O457" i="3"/>
  <c r="S457" i="3" s="1"/>
  <c r="N457" i="3"/>
  <c r="T456" i="3"/>
  <c r="R456" i="3"/>
  <c r="P456" i="3"/>
  <c r="O456" i="3"/>
  <c r="S456" i="3" s="1"/>
  <c r="N456" i="3"/>
  <c r="T455" i="3"/>
  <c r="R455" i="3"/>
  <c r="P455" i="3"/>
  <c r="O455" i="3"/>
  <c r="S455" i="3" s="1"/>
  <c r="N455" i="3"/>
  <c r="T454" i="3"/>
  <c r="R454" i="3"/>
  <c r="P454" i="3"/>
  <c r="O454" i="3"/>
  <c r="S454" i="3" s="1"/>
  <c r="N454" i="3"/>
  <c r="T453" i="3"/>
  <c r="R453" i="3"/>
  <c r="P453" i="3"/>
  <c r="O453" i="3"/>
  <c r="S453" i="3" s="1"/>
  <c r="N453" i="3"/>
  <c r="T452" i="3"/>
  <c r="R452" i="3"/>
  <c r="P452" i="3"/>
  <c r="O452" i="3"/>
  <c r="S452" i="3" s="1"/>
  <c r="N452" i="3"/>
  <c r="T451" i="3"/>
  <c r="R451" i="3"/>
  <c r="P451" i="3"/>
  <c r="O451" i="3"/>
  <c r="S451" i="3" s="1"/>
  <c r="N451" i="3"/>
  <c r="T450" i="3"/>
  <c r="R450" i="3"/>
  <c r="P450" i="3"/>
  <c r="O450" i="3"/>
  <c r="S450" i="3" s="1"/>
  <c r="N450" i="3"/>
  <c r="T449" i="3"/>
  <c r="R449" i="3"/>
  <c r="P449" i="3"/>
  <c r="O449" i="3"/>
  <c r="S449" i="3" s="1"/>
  <c r="N449" i="3"/>
  <c r="T448" i="3"/>
  <c r="R448" i="3"/>
  <c r="P448" i="3"/>
  <c r="O448" i="3"/>
  <c r="S448" i="3" s="1"/>
  <c r="N448" i="3"/>
  <c r="T447" i="3"/>
  <c r="R447" i="3"/>
  <c r="P447" i="3"/>
  <c r="O447" i="3"/>
  <c r="S447" i="3" s="1"/>
  <c r="N447" i="3"/>
  <c r="T446" i="3"/>
  <c r="R446" i="3"/>
  <c r="P446" i="3"/>
  <c r="O446" i="3"/>
  <c r="S446" i="3" s="1"/>
  <c r="N446" i="3"/>
  <c r="T445" i="3"/>
  <c r="R445" i="3"/>
  <c r="P445" i="3"/>
  <c r="O445" i="3"/>
  <c r="S445" i="3" s="1"/>
  <c r="N445" i="3"/>
  <c r="T444" i="3"/>
  <c r="R444" i="3"/>
  <c r="P444" i="3"/>
  <c r="O444" i="3"/>
  <c r="S444" i="3" s="1"/>
  <c r="N444" i="3"/>
  <c r="T443" i="3"/>
  <c r="R443" i="3"/>
  <c r="P443" i="3"/>
  <c r="O443" i="3"/>
  <c r="S443" i="3" s="1"/>
  <c r="N443" i="3"/>
  <c r="T442" i="3"/>
  <c r="R442" i="3"/>
  <c r="P442" i="3"/>
  <c r="O442" i="3"/>
  <c r="S442" i="3" s="1"/>
  <c r="N442" i="3"/>
  <c r="T441" i="3"/>
  <c r="R441" i="3"/>
  <c r="P441" i="3"/>
  <c r="O441" i="3"/>
  <c r="S441" i="3" s="1"/>
  <c r="N441" i="3"/>
  <c r="T440" i="3"/>
  <c r="R440" i="3"/>
  <c r="P440" i="3"/>
  <c r="O440" i="3"/>
  <c r="S440" i="3" s="1"/>
  <c r="N440" i="3"/>
  <c r="T439" i="3"/>
  <c r="R439" i="3"/>
  <c r="P439" i="3"/>
  <c r="O439" i="3"/>
  <c r="S439" i="3" s="1"/>
  <c r="N439" i="3"/>
  <c r="T438" i="3"/>
  <c r="R438" i="3"/>
  <c r="P438" i="3"/>
  <c r="O438" i="3"/>
  <c r="S438" i="3" s="1"/>
  <c r="N438" i="3"/>
  <c r="T437" i="3"/>
  <c r="R437" i="3"/>
  <c r="P437" i="3"/>
  <c r="O437" i="3"/>
  <c r="S437" i="3" s="1"/>
  <c r="N437" i="3"/>
  <c r="T436" i="3"/>
  <c r="R436" i="3"/>
  <c r="P436" i="3"/>
  <c r="O436" i="3"/>
  <c r="S436" i="3" s="1"/>
  <c r="N436" i="3"/>
  <c r="T435" i="3"/>
  <c r="R435" i="3"/>
  <c r="P435" i="3"/>
  <c r="O435" i="3"/>
  <c r="S435" i="3" s="1"/>
  <c r="N435" i="3"/>
  <c r="T434" i="3"/>
  <c r="S434" i="3"/>
  <c r="R434" i="3"/>
  <c r="P434" i="3"/>
  <c r="O434" i="3"/>
  <c r="N434" i="3"/>
  <c r="T433" i="3"/>
  <c r="R433" i="3"/>
  <c r="P433" i="3"/>
  <c r="O433" i="3"/>
  <c r="N433" i="3"/>
  <c r="T432" i="3"/>
  <c r="S432" i="3"/>
  <c r="R432" i="3"/>
  <c r="P432" i="3"/>
  <c r="O432" i="3"/>
  <c r="N432" i="3"/>
  <c r="T431" i="3"/>
  <c r="R431" i="3"/>
  <c r="P431" i="3"/>
  <c r="O431" i="3"/>
  <c r="N431" i="3"/>
  <c r="T430" i="3"/>
  <c r="S430" i="3"/>
  <c r="R430" i="3"/>
  <c r="P430" i="3"/>
  <c r="O430" i="3"/>
  <c r="N430" i="3"/>
  <c r="T429" i="3"/>
  <c r="R429" i="3"/>
  <c r="P429" i="3"/>
  <c r="O429" i="3"/>
  <c r="N429" i="3"/>
  <c r="T428" i="3"/>
  <c r="S428" i="3"/>
  <c r="R428" i="3"/>
  <c r="P428" i="3"/>
  <c r="O428" i="3"/>
  <c r="N428" i="3"/>
  <c r="T427" i="3"/>
  <c r="R427" i="3"/>
  <c r="P427" i="3"/>
  <c r="O427" i="3"/>
  <c r="N427" i="3"/>
  <c r="T426" i="3"/>
  <c r="S426" i="3"/>
  <c r="R426" i="3"/>
  <c r="P426" i="3"/>
  <c r="O426" i="3"/>
  <c r="N426" i="3"/>
  <c r="T425" i="3"/>
  <c r="R425" i="3"/>
  <c r="P425" i="3"/>
  <c r="O425" i="3"/>
  <c r="N425" i="3"/>
  <c r="T424" i="3"/>
  <c r="S424" i="3"/>
  <c r="R424" i="3"/>
  <c r="P424" i="3"/>
  <c r="O424" i="3"/>
  <c r="N424" i="3"/>
  <c r="T423" i="3"/>
  <c r="R423" i="3"/>
  <c r="P423" i="3"/>
  <c r="O423" i="3"/>
  <c r="N423" i="3"/>
  <c r="T422" i="3"/>
  <c r="S422" i="3"/>
  <c r="R422" i="3"/>
  <c r="P422" i="3"/>
  <c r="O422" i="3"/>
  <c r="N422" i="3"/>
  <c r="T421" i="3"/>
  <c r="R421" i="3"/>
  <c r="P421" i="3"/>
  <c r="O421" i="3"/>
  <c r="N421" i="3"/>
  <c r="T420" i="3"/>
  <c r="S420" i="3"/>
  <c r="R420" i="3"/>
  <c r="P420" i="3"/>
  <c r="O420" i="3"/>
  <c r="N420" i="3"/>
  <c r="T419" i="3"/>
  <c r="R419" i="3"/>
  <c r="P419" i="3"/>
  <c r="O419" i="3"/>
  <c r="N419" i="3"/>
  <c r="T418" i="3"/>
  <c r="S418" i="3"/>
  <c r="R418" i="3"/>
  <c r="P418" i="3"/>
  <c r="O418" i="3"/>
  <c r="N418" i="3"/>
  <c r="T417" i="3"/>
  <c r="R417" i="3"/>
  <c r="P417" i="3"/>
  <c r="O417" i="3"/>
  <c r="N417" i="3"/>
  <c r="T416" i="3"/>
  <c r="S416" i="3"/>
  <c r="R416" i="3"/>
  <c r="P416" i="3"/>
  <c r="O416" i="3"/>
  <c r="N416" i="3"/>
  <c r="T415" i="3"/>
  <c r="R415" i="3"/>
  <c r="P415" i="3"/>
  <c r="O415" i="3"/>
  <c r="N415" i="3"/>
  <c r="T414" i="3"/>
  <c r="S414" i="3"/>
  <c r="R414" i="3"/>
  <c r="P414" i="3"/>
  <c r="O414" i="3"/>
  <c r="N414" i="3"/>
  <c r="T413" i="3"/>
  <c r="R413" i="3"/>
  <c r="P413" i="3"/>
  <c r="O413" i="3"/>
  <c r="N413" i="3"/>
  <c r="T412" i="3"/>
  <c r="S412" i="3"/>
  <c r="R412" i="3"/>
  <c r="P412" i="3"/>
  <c r="O412" i="3"/>
  <c r="N412" i="3"/>
  <c r="T411" i="3"/>
  <c r="R411" i="3"/>
  <c r="P411" i="3"/>
  <c r="O411" i="3"/>
  <c r="N411" i="3"/>
  <c r="T410" i="3"/>
  <c r="S410" i="3"/>
  <c r="R410" i="3"/>
  <c r="P410" i="3"/>
  <c r="O410" i="3"/>
  <c r="N410" i="3"/>
  <c r="T409" i="3"/>
  <c r="R409" i="3"/>
  <c r="P409" i="3"/>
  <c r="O409" i="3"/>
  <c r="N409" i="3"/>
  <c r="T408" i="3"/>
  <c r="S408" i="3"/>
  <c r="R408" i="3"/>
  <c r="P408" i="3"/>
  <c r="O408" i="3"/>
  <c r="N408" i="3"/>
  <c r="T407" i="3"/>
  <c r="R407" i="3"/>
  <c r="P407" i="3"/>
  <c r="O407" i="3"/>
  <c r="N407" i="3"/>
  <c r="T406" i="3"/>
  <c r="S406" i="3"/>
  <c r="R406" i="3"/>
  <c r="P406" i="3"/>
  <c r="O406" i="3"/>
  <c r="N406" i="3"/>
  <c r="T405" i="3"/>
  <c r="R405" i="3"/>
  <c r="P405" i="3"/>
  <c r="O405" i="3"/>
  <c r="N405" i="3"/>
  <c r="T404" i="3"/>
  <c r="S404" i="3"/>
  <c r="R404" i="3"/>
  <c r="P404" i="3"/>
  <c r="O404" i="3"/>
  <c r="N404" i="3"/>
  <c r="T403" i="3"/>
  <c r="R403" i="3"/>
  <c r="P403" i="3"/>
  <c r="O403" i="3"/>
  <c r="N403" i="3"/>
  <c r="T402" i="3"/>
  <c r="S402" i="3"/>
  <c r="R402" i="3"/>
  <c r="P402" i="3"/>
  <c r="O402" i="3"/>
  <c r="N402" i="3"/>
  <c r="T401" i="3"/>
  <c r="R401" i="3"/>
  <c r="P401" i="3"/>
  <c r="O401" i="3"/>
  <c r="N401" i="3"/>
  <c r="T400" i="3"/>
  <c r="S400" i="3"/>
  <c r="R400" i="3"/>
  <c r="P400" i="3"/>
  <c r="O400" i="3"/>
  <c r="N400" i="3"/>
  <c r="T399" i="3"/>
  <c r="R399" i="3"/>
  <c r="P399" i="3"/>
  <c r="O399" i="3"/>
  <c r="N399" i="3"/>
  <c r="T398" i="3"/>
  <c r="S398" i="3"/>
  <c r="R398" i="3"/>
  <c r="P398" i="3"/>
  <c r="O398" i="3"/>
  <c r="N398" i="3"/>
  <c r="T397" i="3"/>
  <c r="R397" i="3"/>
  <c r="P397" i="3"/>
  <c r="O397" i="3"/>
  <c r="N397" i="3"/>
  <c r="T396" i="3"/>
  <c r="S396" i="3"/>
  <c r="R396" i="3"/>
  <c r="P396" i="3"/>
  <c r="O396" i="3"/>
  <c r="N396" i="3"/>
  <c r="U395" i="3"/>
  <c r="T395" i="3"/>
  <c r="R395" i="3"/>
  <c r="Q395" i="3"/>
  <c r="P395" i="3"/>
  <c r="O395" i="3"/>
  <c r="S395" i="3" s="1"/>
  <c r="N395" i="3"/>
  <c r="U394" i="3"/>
  <c r="T394" i="3"/>
  <c r="R394" i="3"/>
  <c r="Q394" i="3"/>
  <c r="P394" i="3"/>
  <c r="O394" i="3"/>
  <c r="S394" i="3" s="1"/>
  <c r="N394" i="3"/>
  <c r="U393" i="3"/>
  <c r="T393" i="3"/>
  <c r="R393" i="3"/>
  <c r="Q393" i="3"/>
  <c r="P393" i="3"/>
  <c r="O393" i="3"/>
  <c r="S393" i="3" s="1"/>
  <c r="N393" i="3"/>
  <c r="U392" i="3"/>
  <c r="T392" i="3"/>
  <c r="R392" i="3"/>
  <c r="Q392" i="3"/>
  <c r="P392" i="3"/>
  <c r="O392" i="3"/>
  <c r="S392" i="3" s="1"/>
  <c r="N392" i="3"/>
  <c r="U391" i="3"/>
  <c r="T391" i="3"/>
  <c r="R391" i="3"/>
  <c r="Q391" i="3"/>
  <c r="P391" i="3"/>
  <c r="O391" i="3"/>
  <c r="S391" i="3" s="1"/>
  <c r="N391" i="3"/>
  <c r="U390" i="3"/>
  <c r="T390" i="3"/>
  <c r="R390" i="3"/>
  <c r="Q390" i="3"/>
  <c r="P390" i="3"/>
  <c r="O390" i="3"/>
  <c r="S390" i="3" s="1"/>
  <c r="N390" i="3"/>
  <c r="U389" i="3"/>
  <c r="T389" i="3"/>
  <c r="R389" i="3"/>
  <c r="Q389" i="3"/>
  <c r="P389" i="3"/>
  <c r="O389" i="3"/>
  <c r="S389" i="3" s="1"/>
  <c r="N389" i="3"/>
  <c r="U388" i="3"/>
  <c r="T388" i="3"/>
  <c r="R388" i="3"/>
  <c r="Q388" i="3"/>
  <c r="P388" i="3"/>
  <c r="O388" i="3"/>
  <c r="S388" i="3" s="1"/>
  <c r="N388" i="3"/>
  <c r="U387" i="3"/>
  <c r="T387" i="3"/>
  <c r="R387" i="3"/>
  <c r="Q387" i="3"/>
  <c r="P387" i="3"/>
  <c r="O387" i="3"/>
  <c r="S387" i="3" s="1"/>
  <c r="N387" i="3"/>
  <c r="U386" i="3"/>
  <c r="T386" i="3"/>
  <c r="R386" i="3"/>
  <c r="Q386" i="3"/>
  <c r="P386" i="3"/>
  <c r="O386" i="3"/>
  <c r="S386" i="3" s="1"/>
  <c r="N386" i="3"/>
  <c r="U385" i="3"/>
  <c r="T385" i="3"/>
  <c r="R385" i="3"/>
  <c r="Q385" i="3"/>
  <c r="P385" i="3"/>
  <c r="O385" i="3"/>
  <c r="S385" i="3" s="1"/>
  <c r="N385" i="3"/>
  <c r="U384" i="3"/>
  <c r="T384" i="3"/>
  <c r="R384" i="3"/>
  <c r="Q384" i="3"/>
  <c r="P384" i="3"/>
  <c r="O384" i="3"/>
  <c r="S384" i="3" s="1"/>
  <c r="N384" i="3"/>
  <c r="U383" i="3"/>
  <c r="T383" i="3"/>
  <c r="R383" i="3"/>
  <c r="Q383" i="3"/>
  <c r="P383" i="3"/>
  <c r="O383" i="3"/>
  <c r="S383" i="3" s="1"/>
  <c r="N383" i="3"/>
  <c r="U382" i="3"/>
  <c r="T382" i="3"/>
  <c r="R382" i="3"/>
  <c r="Q382" i="3"/>
  <c r="P382" i="3"/>
  <c r="O382" i="3"/>
  <c r="S382" i="3" s="1"/>
  <c r="N382" i="3"/>
  <c r="U381" i="3"/>
  <c r="T381" i="3"/>
  <c r="R381" i="3"/>
  <c r="Q381" i="3"/>
  <c r="P381" i="3"/>
  <c r="O381" i="3"/>
  <c r="S381" i="3" s="1"/>
  <c r="N381" i="3"/>
  <c r="U380" i="3"/>
  <c r="T380" i="3"/>
  <c r="R380" i="3"/>
  <c r="Q380" i="3"/>
  <c r="P380" i="3"/>
  <c r="O380" i="3"/>
  <c r="S380" i="3" s="1"/>
  <c r="N380" i="3"/>
  <c r="U379" i="3"/>
  <c r="T379" i="3"/>
  <c r="R379" i="3"/>
  <c r="Q379" i="3"/>
  <c r="P379" i="3"/>
  <c r="O379" i="3"/>
  <c r="S379" i="3" s="1"/>
  <c r="N379" i="3"/>
  <c r="U378" i="3"/>
  <c r="T378" i="3"/>
  <c r="R378" i="3"/>
  <c r="Q378" i="3"/>
  <c r="P378" i="3"/>
  <c r="O378" i="3"/>
  <c r="S378" i="3" s="1"/>
  <c r="N378" i="3"/>
  <c r="U377" i="3"/>
  <c r="T377" i="3"/>
  <c r="R377" i="3"/>
  <c r="Q377" i="3"/>
  <c r="P377" i="3"/>
  <c r="O377" i="3"/>
  <c r="S377" i="3" s="1"/>
  <c r="N377" i="3"/>
  <c r="U376" i="3"/>
  <c r="T376" i="3"/>
  <c r="R376" i="3"/>
  <c r="Q376" i="3"/>
  <c r="P376" i="3"/>
  <c r="O376" i="3"/>
  <c r="S376" i="3" s="1"/>
  <c r="N376" i="3"/>
  <c r="U375" i="3"/>
  <c r="T375" i="3"/>
  <c r="R375" i="3"/>
  <c r="Q375" i="3"/>
  <c r="P375" i="3"/>
  <c r="O375" i="3"/>
  <c r="S375" i="3" s="1"/>
  <c r="N375" i="3"/>
  <c r="U374" i="3"/>
  <c r="T374" i="3"/>
  <c r="R374" i="3"/>
  <c r="Q374" i="3"/>
  <c r="P374" i="3"/>
  <c r="O374" i="3"/>
  <c r="S374" i="3" s="1"/>
  <c r="N374" i="3"/>
  <c r="U373" i="3"/>
  <c r="T373" i="3"/>
  <c r="R373" i="3"/>
  <c r="Q373" i="3"/>
  <c r="P373" i="3"/>
  <c r="O373" i="3"/>
  <c r="S373" i="3" s="1"/>
  <c r="N373" i="3"/>
  <c r="U372" i="3"/>
  <c r="T372" i="3"/>
  <c r="R372" i="3"/>
  <c r="Q372" i="3"/>
  <c r="P372" i="3"/>
  <c r="O372" i="3"/>
  <c r="S372" i="3" s="1"/>
  <c r="N372" i="3"/>
  <c r="U371" i="3"/>
  <c r="T371" i="3"/>
  <c r="R371" i="3"/>
  <c r="Q371" i="3"/>
  <c r="P371" i="3"/>
  <c r="O371" i="3"/>
  <c r="S371" i="3" s="1"/>
  <c r="N371" i="3"/>
  <c r="U370" i="3"/>
  <c r="T370" i="3"/>
  <c r="R370" i="3"/>
  <c r="Q370" i="3"/>
  <c r="P370" i="3"/>
  <c r="O370" i="3"/>
  <c r="S370" i="3" s="1"/>
  <c r="N370" i="3"/>
  <c r="U369" i="3"/>
  <c r="T369" i="3"/>
  <c r="R369" i="3"/>
  <c r="Q369" i="3"/>
  <c r="P369" i="3"/>
  <c r="O369" i="3"/>
  <c r="S369" i="3" s="1"/>
  <c r="N369" i="3"/>
  <c r="U368" i="3"/>
  <c r="T368" i="3"/>
  <c r="R368" i="3"/>
  <c r="Q368" i="3"/>
  <c r="P368" i="3"/>
  <c r="O368" i="3"/>
  <c r="S368" i="3" s="1"/>
  <c r="N368" i="3"/>
  <c r="U367" i="3"/>
  <c r="T367" i="3"/>
  <c r="R367" i="3"/>
  <c r="Q367" i="3"/>
  <c r="P367" i="3"/>
  <c r="O367" i="3"/>
  <c r="S367" i="3" s="1"/>
  <c r="N367" i="3"/>
  <c r="U366" i="3"/>
  <c r="T366" i="3"/>
  <c r="R366" i="3"/>
  <c r="Q366" i="3"/>
  <c r="P366" i="3"/>
  <c r="O366" i="3"/>
  <c r="S366" i="3" s="1"/>
  <c r="N366" i="3"/>
  <c r="U365" i="3"/>
  <c r="T365" i="3"/>
  <c r="R365" i="3"/>
  <c r="Q365" i="3"/>
  <c r="P365" i="3"/>
  <c r="O365" i="3"/>
  <c r="S365" i="3" s="1"/>
  <c r="N365" i="3"/>
  <c r="U364" i="3"/>
  <c r="T364" i="3"/>
  <c r="R364" i="3"/>
  <c r="Q364" i="3"/>
  <c r="P364" i="3"/>
  <c r="O364" i="3"/>
  <c r="S364" i="3" s="1"/>
  <c r="N364" i="3"/>
  <c r="U363" i="3"/>
  <c r="T363" i="3"/>
  <c r="R363" i="3"/>
  <c r="Q363" i="3"/>
  <c r="P363" i="3"/>
  <c r="O363" i="3"/>
  <c r="S363" i="3" s="1"/>
  <c r="N363" i="3"/>
  <c r="U362" i="3"/>
  <c r="T362" i="3"/>
  <c r="R362" i="3"/>
  <c r="Q362" i="3"/>
  <c r="P362" i="3"/>
  <c r="O362" i="3"/>
  <c r="S362" i="3" s="1"/>
  <c r="N362" i="3"/>
  <c r="U361" i="3"/>
  <c r="T361" i="3"/>
  <c r="R361" i="3"/>
  <c r="Q361" i="3"/>
  <c r="P361" i="3"/>
  <c r="O361" i="3"/>
  <c r="S361" i="3" s="1"/>
  <c r="N361" i="3"/>
  <c r="U360" i="3"/>
  <c r="T360" i="3"/>
  <c r="R360" i="3"/>
  <c r="Q360" i="3"/>
  <c r="P360" i="3"/>
  <c r="O360" i="3"/>
  <c r="S360" i="3" s="1"/>
  <c r="N360" i="3"/>
  <c r="U359" i="3"/>
  <c r="T359" i="3"/>
  <c r="R359" i="3"/>
  <c r="Q359" i="3"/>
  <c r="P359" i="3"/>
  <c r="O359" i="3"/>
  <c r="S359" i="3" s="1"/>
  <c r="N359" i="3"/>
  <c r="U358" i="3"/>
  <c r="T358" i="3"/>
  <c r="R358" i="3"/>
  <c r="Q358" i="3"/>
  <c r="P358" i="3"/>
  <c r="O358" i="3"/>
  <c r="S358" i="3" s="1"/>
  <c r="N358" i="3"/>
  <c r="U357" i="3"/>
  <c r="T357" i="3"/>
  <c r="R357" i="3"/>
  <c r="Q357" i="3"/>
  <c r="P357" i="3"/>
  <c r="O357" i="3"/>
  <c r="S357" i="3" s="1"/>
  <c r="N357" i="3"/>
  <c r="U356" i="3"/>
  <c r="T356" i="3"/>
  <c r="R356" i="3"/>
  <c r="Q356" i="3"/>
  <c r="P356" i="3"/>
  <c r="O356" i="3"/>
  <c r="S356" i="3" s="1"/>
  <c r="N356" i="3"/>
  <c r="U355" i="3"/>
  <c r="T355" i="3"/>
  <c r="R355" i="3"/>
  <c r="Q355" i="3"/>
  <c r="P355" i="3"/>
  <c r="O355" i="3"/>
  <c r="S355" i="3" s="1"/>
  <c r="N355" i="3"/>
  <c r="U354" i="3"/>
  <c r="T354" i="3"/>
  <c r="R354" i="3"/>
  <c r="Q354" i="3"/>
  <c r="P354" i="3"/>
  <c r="O354" i="3"/>
  <c r="S354" i="3" s="1"/>
  <c r="N354" i="3"/>
  <c r="U353" i="3"/>
  <c r="T353" i="3"/>
  <c r="R353" i="3"/>
  <c r="Q353" i="3"/>
  <c r="P353" i="3"/>
  <c r="O353" i="3"/>
  <c r="S353" i="3" s="1"/>
  <c r="N353" i="3"/>
  <c r="U352" i="3"/>
  <c r="T352" i="3"/>
  <c r="R352" i="3"/>
  <c r="Q352" i="3"/>
  <c r="P352" i="3"/>
  <c r="O352" i="3"/>
  <c r="S352" i="3" s="1"/>
  <c r="N352" i="3"/>
  <c r="U351" i="3"/>
  <c r="T351" i="3"/>
  <c r="R351" i="3"/>
  <c r="Q351" i="3"/>
  <c r="P351" i="3"/>
  <c r="O351" i="3"/>
  <c r="S351" i="3" s="1"/>
  <c r="N351" i="3"/>
  <c r="U350" i="3"/>
  <c r="T350" i="3"/>
  <c r="R350" i="3"/>
  <c r="Q350" i="3"/>
  <c r="P350" i="3"/>
  <c r="O350" i="3"/>
  <c r="S350" i="3" s="1"/>
  <c r="N350" i="3"/>
  <c r="U349" i="3"/>
  <c r="T349" i="3"/>
  <c r="R349" i="3"/>
  <c r="Q349" i="3"/>
  <c r="P349" i="3"/>
  <c r="O349" i="3"/>
  <c r="S349" i="3" s="1"/>
  <c r="N349" i="3"/>
  <c r="U348" i="3"/>
  <c r="T348" i="3"/>
  <c r="R348" i="3"/>
  <c r="Q348" i="3"/>
  <c r="P348" i="3"/>
  <c r="O348" i="3"/>
  <c r="S348" i="3" s="1"/>
  <c r="N348" i="3"/>
  <c r="U347" i="3"/>
  <c r="T347" i="3"/>
  <c r="R347" i="3"/>
  <c r="Q347" i="3"/>
  <c r="P347" i="3"/>
  <c r="O347" i="3"/>
  <c r="S347" i="3" s="1"/>
  <c r="N347" i="3"/>
  <c r="U346" i="3"/>
  <c r="T346" i="3"/>
  <c r="R346" i="3"/>
  <c r="Q346" i="3"/>
  <c r="P346" i="3"/>
  <c r="O346" i="3"/>
  <c r="S346" i="3" s="1"/>
  <c r="N346" i="3"/>
  <c r="U345" i="3"/>
  <c r="T345" i="3"/>
  <c r="R345" i="3"/>
  <c r="Q345" i="3"/>
  <c r="P345" i="3"/>
  <c r="O345" i="3"/>
  <c r="S345" i="3" s="1"/>
  <c r="N345" i="3"/>
  <c r="U344" i="3"/>
  <c r="T344" i="3"/>
  <c r="R344" i="3"/>
  <c r="Q344" i="3"/>
  <c r="P344" i="3"/>
  <c r="O344" i="3"/>
  <c r="S344" i="3" s="1"/>
  <c r="N344" i="3"/>
  <c r="U343" i="3"/>
  <c r="T343" i="3"/>
  <c r="R343" i="3"/>
  <c r="Q343" i="3"/>
  <c r="P343" i="3"/>
  <c r="O343" i="3"/>
  <c r="S343" i="3" s="1"/>
  <c r="N343" i="3"/>
  <c r="U342" i="3"/>
  <c r="T342" i="3"/>
  <c r="R342" i="3"/>
  <c r="Q342" i="3"/>
  <c r="P342" i="3"/>
  <c r="O342" i="3"/>
  <c r="S342" i="3" s="1"/>
  <c r="N342" i="3"/>
  <c r="U341" i="3"/>
  <c r="T341" i="3"/>
  <c r="R341" i="3"/>
  <c r="Q341" i="3"/>
  <c r="P341" i="3"/>
  <c r="O341" i="3"/>
  <c r="S341" i="3" s="1"/>
  <c r="N341" i="3"/>
  <c r="U340" i="3"/>
  <c r="T340" i="3"/>
  <c r="R340" i="3"/>
  <c r="Q340" i="3"/>
  <c r="P340" i="3"/>
  <c r="O340" i="3"/>
  <c r="S340" i="3" s="1"/>
  <c r="N340" i="3"/>
  <c r="U339" i="3"/>
  <c r="T339" i="3"/>
  <c r="R339" i="3"/>
  <c r="Q339" i="3"/>
  <c r="P339" i="3"/>
  <c r="O339" i="3"/>
  <c r="S339" i="3" s="1"/>
  <c r="N339" i="3"/>
  <c r="U338" i="3"/>
  <c r="T338" i="3"/>
  <c r="R338" i="3"/>
  <c r="Q338" i="3"/>
  <c r="P338" i="3"/>
  <c r="O338" i="3"/>
  <c r="S338" i="3" s="1"/>
  <c r="N338" i="3"/>
  <c r="U337" i="3"/>
  <c r="T337" i="3"/>
  <c r="R337" i="3"/>
  <c r="Q337" i="3"/>
  <c r="P337" i="3"/>
  <c r="O337" i="3"/>
  <c r="S337" i="3" s="1"/>
  <c r="N337" i="3"/>
  <c r="U336" i="3"/>
  <c r="T336" i="3"/>
  <c r="R336" i="3"/>
  <c r="Q336" i="3"/>
  <c r="P336" i="3"/>
  <c r="O336" i="3"/>
  <c r="S336" i="3" s="1"/>
  <c r="N336" i="3"/>
  <c r="U335" i="3"/>
  <c r="T335" i="3"/>
  <c r="R335" i="3"/>
  <c r="Q335" i="3"/>
  <c r="P335" i="3"/>
  <c r="O335" i="3"/>
  <c r="S335" i="3" s="1"/>
  <c r="N335" i="3"/>
  <c r="U334" i="3"/>
  <c r="T334" i="3"/>
  <c r="R334" i="3"/>
  <c r="Q334" i="3"/>
  <c r="P334" i="3"/>
  <c r="O334" i="3"/>
  <c r="S334" i="3" s="1"/>
  <c r="N334" i="3"/>
  <c r="U333" i="3"/>
  <c r="T333" i="3"/>
  <c r="R333" i="3"/>
  <c r="Q333" i="3"/>
  <c r="P333" i="3"/>
  <c r="O333" i="3"/>
  <c r="S333" i="3" s="1"/>
  <c r="N333" i="3"/>
  <c r="U332" i="3"/>
  <c r="T332" i="3"/>
  <c r="R332" i="3"/>
  <c r="Q332" i="3"/>
  <c r="P332" i="3"/>
  <c r="O332" i="3"/>
  <c r="S332" i="3" s="1"/>
  <c r="N332" i="3"/>
  <c r="U331" i="3"/>
  <c r="T331" i="3"/>
  <c r="R331" i="3"/>
  <c r="Q331" i="3"/>
  <c r="P331" i="3"/>
  <c r="O331" i="3"/>
  <c r="S331" i="3" s="1"/>
  <c r="N331" i="3"/>
  <c r="U330" i="3"/>
  <c r="T330" i="3"/>
  <c r="R330" i="3"/>
  <c r="Q330" i="3"/>
  <c r="P330" i="3"/>
  <c r="O330" i="3"/>
  <c r="S330" i="3" s="1"/>
  <c r="N330" i="3"/>
  <c r="U329" i="3"/>
  <c r="T329" i="3"/>
  <c r="R329" i="3"/>
  <c r="Q329" i="3"/>
  <c r="P329" i="3"/>
  <c r="O329" i="3"/>
  <c r="S329" i="3" s="1"/>
  <c r="N329" i="3"/>
  <c r="U328" i="3"/>
  <c r="T328" i="3"/>
  <c r="R328" i="3"/>
  <c r="Q328" i="3"/>
  <c r="P328" i="3"/>
  <c r="O328" i="3"/>
  <c r="S328" i="3" s="1"/>
  <c r="N328" i="3"/>
  <c r="U327" i="3"/>
  <c r="T327" i="3"/>
  <c r="R327" i="3"/>
  <c r="Q327" i="3"/>
  <c r="P327" i="3"/>
  <c r="O327" i="3"/>
  <c r="S327" i="3" s="1"/>
  <c r="N327" i="3"/>
  <c r="U326" i="3"/>
  <c r="T326" i="3"/>
  <c r="R326" i="3"/>
  <c r="Q326" i="3"/>
  <c r="P326" i="3"/>
  <c r="O326" i="3"/>
  <c r="S326" i="3" s="1"/>
  <c r="N326" i="3"/>
  <c r="U325" i="3"/>
  <c r="T325" i="3"/>
  <c r="R325" i="3"/>
  <c r="Q325" i="3"/>
  <c r="P325" i="3"/>
  <c r="O325" i="3"/>
  <c r="S325" i="3" s="1"/>
  <c r="N325" i="3"/>
  <c r="U324" i="3"/>
  <c r="T324" i="3"/>
  <c r="R324" i="3"/>
  <c r="Q324" i="3"/>
  <c r="P324" i="3"/>
  <c r="O324" i="3"/>
  <c r="S324" i="3" s="1"/>
  <c r="N324" i="3"/>
  <c r="U323" i="3"/>
  <c r="T323" i="3"/>
  <c r="R323" i="3"/>
  <c r="Q323" i="3"/>
  <c r="P323" i="3"/>
  <c r="O323" i="3"/>
  <c r="S323" i="3" s="1"/>
  <c r="N323" i="3"/>
  <c r="U322" i="3"/>
  <c r="T322" i="3"/>
  <c r="R322" i="3"/>
  <c r="Q322" i="3"/>
  <c r="P322" i="3"/>
  <c r="O322" i="3"/>
  <c r="S322" i="3" s="1"/>
  <c r="N322" i="3"/>
  <c r="U321" i="3"/>
  <c r="T321" i="3"/>
  <c r="R321" i="3"/>
  <c r="Q321" i="3"/>
  <c r="P321" i="3"/>
  <c r="O321" i="3"/>
  <c r="S321" i="3" s="1"/>
  <c r="N321" i="3"/>
  <c r="U320" i="3"/>
  <c r="T320" i="3"/>
  <c r="R320" i="3"/>
  <c r="Q320" i="3"/>
  <c r="P320" i="3"/>
  <c r="O320" i="3"/>
  <c r="N320" i="3"/>
  <c r="U319" i="3"/>
  <c r="T319" i="3"/>
  <c r="Q319" i="3"/>
  <c r="R319" i="3" s="1"/>
  <c r="P319" i="3"/>
  <c r="O319" i="3"/>
  <c r="N319" i="3"/>
  <c r="U318" i="3"/>
  <c r="T318" i="3"/>
  <c r="Q318" i="3"/>
  <c r="R318" i="3" s="1"/>
  <c r="P318" i="3"/>
  <c r="O318" i="3"/>
  <c r="N318" i="3"/>
  <c r="U317" i="3"/>
  <c r="T317" i="3"/>
  <c r="Q317" i="3"/>
  <c r="R317" i="3" s="1"/>
  <c r="P317" i="3"/>
  <c r="O317" i="3"/>
  <c r="N317" i="3"/>
  <c r="U316" i="3"/>
  <c r="T316" i="3"/>
  <c r="Q316" i="3"/>
  <c r="R316" i="3" s="1"/>
  <c r="P316" i="3"/>
  <c r="O316" i="3"/>
  <c r="N316" i="3"/>
  <c r="U315" i="3"/>
  <c r="T315" i="3"/>
  <c r="Q315" i="3"/>
  <c r="R315" i="3" s="1"/>
  <c r="P315" i="3"/>
  <c r="O315" i="3"/>
  <c r="N315" i="3"/>
  <c r="U314" i="3"/>
  <c r="T314" i="3"/>
  <c r="Q314" i="3"/>
  <c r="R314" i="3" s="1"/>
  <c r="P314" i="3"/>
  <c r="O314" i="3"/>
  <c r="N314" i="3"/>
  <c r="U313" i="3"/>
  <c r="T313" i="3"/>
  <c r="R313" i="3"/>
  <c r="Q313" i="3"/>
  <c r="P313" i="3"/>
  <c r="O313" i="3"/>
  <c r="N313" i="3"/>
  <c r="U312" i="3"/>
  <c r="T312" i="3"/>
  <c r="R312" i="3"/>
  <c r="Q312" i="3"/>
  <c r="P312" i="3"/>
  <c r="O312" i="3"/>
  <c r="N312" i="3"/>
  <c r="U311" i="3"/>
  <c r="T311" i="3"/>
  <c r="Q311" i="3"/>
  <c r="R311" i="3" s="1"/>
  <c r="P311" i="3"/>
  <c r="O311" i="3"/>
  <c r="N311" i="3"/>
  <c r="U310" i="3"/>
  <c r="T310" i="3"/>
  <c r="Q310" i="3"/>
  <c r="R310" i="3" s="1"/>
  <c r="P310" i="3"/>
  <c r="O310" i="3"/>
  <c r="N310" i="3"/>
  <c r="U309" i="3"/>
  <c r="T309" i="3"/>
  <c r="Q309" i="3"/>
  <c r="R309" i="3" s="1"/>
  <c r="P309" i="3"/>
  <c r="O309" i="3"/>
  <c r="N309" i="3"/>
  <c r="U308" i="3"/>
  <c r="T308" i="3"/>
  <c r="R308" i="3"/>
  <c r="Q308" i="3"/>
  <c r="P308" i="3"/>
  <c r="O308" i="3"/>
  <c r="N308" i="3"/>
  <c r="U307" i="3"/>
  <c r="T307" i="3"/>
  <c r="Q307" i="3"/>
  <c r="R307" i="3" s="1"/>
  <c r="P307" i="3"/>
  <c r="O307" i="3"/>
  <c r="N307" i="3"/>
  <c r="U306" i="3"/>
  <c r="T306" i="3"/>
  <c r="Q306" i="3"/>
  <c r="R306" i="3" s="1"/>
  <c r="P306" i="3"/>
  <c r="O306" i="3"/>
  <c r="N306" i="3"/>
  <c r="U305" i="3"/>
  <c r="T305" i="3"/>
  <c r="Q305" i="3"/>
  <c r="R305" i="3" s="1"/>
  <c r="P305" i="3"/>
  <c r="O305" i="3"/>
  <c r="N305" i="3"/>
  <c r="U304" i="3"/>
  <c r="T304" i="3"/>
  <c r="R304" i="3"/>
  <c r="Q304" i="3"/>
  <c r="P304" i="3"/>
  <c r="O304" i="3"/>
  <c r="N304" i="3"/>
  <c r="U303" i="3"/>
  <c r="T303" i="3"/>
  <c r="Q303" i="3"/>
  <c r="R303" i="3" s="1"/>
  <c r="P303" i="3"/>
  <c r="O303" i="3"/>
  <c r="N303" i="3"/>
  <c r="U302" i="3"/>
  <c r="T302" i="3"/>
  <c r="Q302" i="3"/>
  <c r="R302" i="3" s="1"/>
  <c r="P302" i="3"/>
  <c r="O302" i="3"/>
  <c r="N302" i="3"/>
  <c r="U301" i="3"/>
  <c r="T301" i="3"/>
  <c r="Q301" i="3"/>
  <c r="R301" i="3" s="1"/>
  <c r="P301" i="3"/>
  <c r="O301" i="3"/>
  <c r="N301" i="3"/>
  <c r="U300" i="3"/>
  <c r="T300" i="3"/>
  <c r="Q300" i="3"/>
  <c r="R300" i="3" s="1"/>
  <c r="P300" i="3"/>
  <c r="O300" i="3"/>
  <c r="N300" i="3"/>
  <c r="U299" i="3"/>
  <c r="T299" i="3"/>
  <c r="Q299" i="3"/>
  <c r="R299" i="3" s="1"/>
  <c r="P299" i="3"/>
  <c r="O299" i="3"/>
  <c r="S299" i="3" s="1"/>
  <c r="N299" i="3"/>
  <c r="U298" i="3"/>
  <c r="T298" i="3"/>
  <c r="Q298" i="3"/>
  <c r="R298" i="3" s="1"/>
  <c r="P298" i="3"/>
  <c r="O298" i="3"/>
  <c r="N298" i="3"/>
  <c r="U297" i="3"/>
  <c r="T297" i="3"/>
  <c r="Q297" i="3"/>
  <c r="R297" i="3" s="1"/>
  <c r="P297" i="3"/>
  <c r="O297" i="3"/>
  <c r="N297" i="3"/>
  <c r="U296" i="3"/>
  <c r="T296" i="3"/>
  <c r="R296" i="3"/>
  <c r="Q296" i="3"/>
  <c r="P296" i="3"/>
  <c r="O296" i="3"/>
  <c r="N296" i="3"/>
  <c r="U295" i="3"/>
  <c r="T295" i="3"/>
  <c r="Q295" i="3"/>
  <c r="R295" i="3" s="1"/>
  <c r="P295" i="3"/>
  <c r="O295" i="3"/>
  <c r="N295" i="3"/>
  <c r="U294" i="3"/>
  <c r="T294" i="3"/>
  <c r="Q294" i="3"/>
  <c r="R294" i="3" s="1"/>
  <c r="P294" i="3"/>
  <c r="O294" i="3"/>
  <c r="N294" i="3"/>
  <c r="U293" i="3"/>
  <c r="T293" i="3"/>
  <c r="Q293" i="3"/>
  <c r="R293" i="3" s="1"/>
  <c r="P293" i="3"/>
  <c r="O293" i="3"/>
  <c r="N293" i="3"/>
  <c r="U292" i="3"/>
  <c r="T292" i="3"/>
  <c r="Q292" i="3"/>
  <c r="R292" i="3" s="1"/>
  <c r="P292" i="3"/>
  <c r="O292" i="3"/>
  <c r="N292" i="3"/>
  <c r="U291" i="3"/>
  <c r="T291" i="3"/>
  <c r="R291" i="3"/>
  <c r="Q291" i="3"/>
  <c r="P291" i="3"/>
  <c r="O291" i="3"/>
  <c r="S291" i="3" s="1"/>
  <c r="N291" i="3"/>
  <c r="U290" i="3"/>
  <c r="T290" i="3"/>
  <c r="Q290" i="3"/>
  <c r="R290" i="3" s="1"/>
  <c r="P290" i="3"/>
  <c r="O290" i="3"/>
  <c r="N290" i="3"/>
  <c r="U289" i="3"/>
  <c r="T289" i="3"/>
  <c r="R289" i="3"/>
  <c r="Q289" i="3"/>
  <c r="P289" i="3"/>
  <c r="O289" i="3"/>
  <c r="N289" i="3"/>
  <c r="U288" i="3"/>
  <c r="T288" i="3"/>
  <c r="R288" i="3"/>
  <c r="Q288" i="3"/>
  <c r="P288" i="3"/>
  <c r="O288" i="3"/>
  <c r="S288" i="3" s="1"/>
  <c r="N288" i="3"/>
  <c r="U287" i="3"/>
  <c r="T287" i="3"/>
  <c r="R287" i="3"/>
  <c r="Q287" i="3"/>
  <c r="P287" i="3"/>
  <c r="O287" i="3"/>
  <c r="N287" i="3"/>
  <c r="U286" i="3"/>
  <c r="T286" i="3"/>
  <c r="Q286" i="3"/>
  <c r="R286" i="3" s="1"/>
  <c r="P286" i="3"/>
  <c r="O286" i="3"/>
  <c r="N286" i="3"/>
  <c r="U285" i="3"/>
  <c r="T285" i="3"/>
  <c r="R285" i="3"/>
  <c r="K82" i="2" s="1"/>
  <c r="O51" i="1" s="1"/>
  <c r="Q285" i="3"/>
  <c r="P285" i="3"/>
  <c r="O285" i="3"/>
  <c r="N285" i="3"/>
  <c r="U284" i="3"/>
  <c r="T284" i="3"/>
  <c r="R284" i="3"/>
  <c r="Q284" i="3"/>
  <c r="P284" i="3"/>
  <c r="O284" i="3"/>
  <c r="S284" i="3" s="1"/>
  <c r="N284" i="3"/>
  <c r="U283" i="3"/>
  <c r="T283" i="3"/>
  <c r="R283" i="3"/>
  <c r="Q283" i="3"/>
  <c r="P283" i="3"/>
  <c r="O283" i="3"/>
  <c r="N283" i="3"/>
  <c r="U282" i="3"/>
  <c r="T282" i="3"/>
  <c r="Q282" i="3"/>
  <c r="R282" i="3" s="1"/>
  <c r="P282" i="3"/>
  <c r="O282" i="3"/>
  <c r="N282" i="3"/>
  <c r="U281" i="3"/>
  <c r="T281" i="3"/>
  <c r="R281" i="3"/>
  <c r="Q281" i="3"/>
  <c r="P281" i="3"/>
  <c r="O281" i="3"/>
  <c r="S281" i="3" s="1"/>
  <c r="N281" i="3"/>
  <c r="U280" i="3"/>
  <c r="T280" i="3"/>
  <c r="R280" i="3"/>
  <c r="Q280" i="3"/>
  <c r="P280" i="3"/>
  <c r="O280" i="3"/>
  <c r="N280" i="3"/>
  <c r="U279" i="3"/>
  <c r="T279" i="3"/>
  <c r="R279" i="3"/>
  <c r="Q279" i="3"/>
  <c r="P279" i="3"/>
  <c r="O279" i="3"/>
  <c r="S279" i="3" s="1"/>
  <c r="N279" i="3"/>
  <c r="U278" i="3"/>
  <c r="T278" i="3"/>
  <c r="Q278" i="3"/>
  <c r="R278" i="3" s="1"/>
  <c r="P278" i="3"/>
  <c r="O278" i="3"/>
  <c r="S278" i="3" s="1"/>
  <c r="N278" i="3"/>
  <c r="U277" i="3"/>
  <c r="T277" i="3"/>
  <c r="R277" i="3"/>
  <c r="Q277" i="3"/>
  <c r="P277" i="3"/>
  <c r="O277" i="3"/>
  <c r="N277" i="3"/>
  <c r="U276" i="3"/>
  <c r="T276" i="3"/>
  <c r="Q276" i="3"/>
  <c r="R276" i="3" s="1"/>
  <c r="P276" i="3"/>
  <c r="O276" i="3"/>
  <c r="N276" i="3"/>
  <c r="U275" i="3"/>
  <c r="T275" i="3"/>
  <c r="Q275" i="3"/>
  <c r="R275" i="3" s="1"/>
  <c r="P275" i="3"/>
  <c r="O275" i="3"/>
  <c r="N275" i="3"/>
  <c r="U274" i="3"/>
  <c r="T274" i="3"/>
  <c r="R274" i="3"/>
  <c r="Q274" i="3"/>
  <c r="P274" i="3"/>
  <c r="O274" i="3"/>
  <c r="S274" i="3" s="1"/>
  <c r="N274" i="3"/>
  <c r="U273" i="3"/>
  <c r="T273" i="3"/>
  <c r="R273" i="3"/>
  <c r="Q273" i="3"/>
  <c r="P273" i="3"/>
  <c r="O273" i="3"/>
  <c r="N273" i="3"/>
  <c r="U272" i="3"/>
  <c r="T272" i="3"/>
  <c r="Q272" i="3"/>
  <c r="R272" i="3" s="1"/>
  <c r="P272" i="3"/>
  <c r="O272" i="3"/>
  <c r="N272" i="3"/>
  <c r="U271" i="3"/>
  <c r="T271" i="3"/>
  <c r="Q271" i="3"/>
  <c r="R271" i="3" s="1"/>
  <c r="P271" i="3"/>
  <c r="O271" i="3"/>
  <c r="N271" i="3"/>
  <c r="U270" i="3"/>
  <c r="T270" i="3"/>
  <c r="Q270" i="3"/>
  <c r="R270" i="3" s="1"/>
  <c r="P270" i="3"/>
  <c r="O270" i="3"/>
  <c r="S270" i="3" s="1"/>
  <c r="N270" i="3"/>
  <c r="U269" i="3"/>
  <c r="T269" i="3"/>
  <c r="R269" i="3"/>
  <c r="Q269" i="3"/>
  <c r="P269" i="3"/>
  <c r="O269" i="3"/>
  <c r="N269" i="3"/>
  <c r="U268" i="3"/>
  <c r="T268" i="3"/>
  <c r="Q268" i="3"/>
  <c r="R268" i="3" s="1"/>
  <c r="P268" i="3"/>
  <c r="O268" i="3"/>
  <c r="N268" i="3"/>
  <c r="U267" i="3"/>
  <c r="T267" i="3"/>
  <c r="R267" i="3"/>
  <c r="Q267" i="3"/>
  <c r="P267" i="3"/>
  <c r="O267" i="3"/>
  <c r="S267" i="3" s="1"/>
  <c r="N267" i="3"/>
  <c r="U266" i="3"/>
  <c r="T266" i="3"/>
  <c r="R266" i="3"/>
  <c r="Q266" i="3"/>
  <c r="P266" i="3"/>
  <c r="O266" i="3"/>
  <c r="S266" i="3" s="1"/>
  <c r="N266" i="3"/>
  <c r="U265" i="3"/>
  <c r="T265" i="3"/>
  <c r="R265" i="3"/>
  <c r="Q265" i="3"/>
  <c r="P265" i="3"/>
  <c r="O265" i="3"/>
  <c r="N265" i="3"/>
  <c r="U264" i="3"/>
  <c r="T264" i="3"/>
  <c r="Q264" i="3"/>
  <c r="R264" i="3" s="1"/>
  <c r="P264" i="3"/>
  <c r="O264" i="3"/>
  <c r="N264" i="3"/>
  <c r="U263" i="3"/>
  <c r="T263" i="3"/>
  <c r="Q263" i="3"/>
  <c r="R263" i="3" s="1"/>
  <c r="P263" i="3"/>
  <c r="O263" i="3"/>
  <c r="N263" i="3"/>
  <c r="U262" i="3"/>
  <c r="T262" i="3"/>
  <c r="R262" i="3"/>
  <c r="Q262" i="3"/>
  <c r="P262" i="3"/>
  <c r="O262" i="3"/>
  <c r="N262" i="3"/>
  <c r="U261" i="3"/>
  <c r="T261" i="3"/>
  <c r="Q261" i="3"/>
  <c r="R261" i="3" s="1"/>
  <c r="P261" i="3"/>
  <c r="O261" i="3"/>
  <c r="N261" i="3"/>
  <c r="U260" i="3"/>
  <c r="T260" i="3"/>
  <c r="Q260" i="3"/>
  <c r="R260" i="3" s="1"/>
  <c r="P260" i="3"/>
  <c r="O260" i="3"/>
  <c r="N260" i="3"/>
  <c r="U259" i="3"/>
  <c r="T259" i="3"/>
  <c r="R259" i="3"/>
  <c r="Q259" i="3"/>
  <c r="P259" i="3"/>
  <c r="O259" i="3"/>
  <c r="N259" i="3"/>
  <c r="U258" i="3"/>
  <c r="T258" i="3"/>
  <c r="Q258" i="3"/>
  <c r="R258" i="3" s="1"/>
  <c r="P258" i="3"/>
  <c r="O258" i="3"/>
  <c r="S258" i="3" s="1"/>
  <c r="N258" i="3"/>
  <c r="U257" i="3"/>
  <c r="T257" i="3"/>
  <c r="R257" i="3"/>
  <c r="Q257" i="3"/>
  <c r="P257" i="3"/>
  <c r="O257" i="3"/>
  <c r="N257" i="3"/>
  <c r="U256" i="3"/>
  <c r="T256" i="3"/>
  <c r="Q256" i="3"/>
  <c r="R256" i="3" s="1"/>
  <c r="P256" i="3"/>
  <c r="O256" i="3"/>
  <c r="N256" i="3"/>
  <c r="U255" i="3"/>
  <c r="T255" i="3"/>
  <c r="R255" i="3"/>
  <c r="Q255" i="3"/>
  <c r="P255" i="3"/>
  <c r="O255" i="3"/>
  <c r="N255" i="3"/>
  <c r="U254" i="3"/>
  <c r="T254" i="3"/>
  <c r="R254" i="3"/>
  <c r="Q254" i="3"/>
  <c r="P254" i="3"/>
  <c r="O254" i="3"/>
  <c r="S254" i="3" s="1"/>
  <c r="N254" i="3"/>
  <c r="U253" i="3"/>
  <c r="T253" i="3"/>
  <c r="Q253" i="3"/>
  <c r="R253" i="3" s="1"/>
  <c r="P253" i="3"/>
  <c r="O253" i="3"/>
  <c r="N253" i="3"/>
  <c r="U252" i="3"/>
  <c r="T252" i="3"/>
  <c r="Q252" i="3"/>
  <c r="R252" i="3" s="1"/>
  <c r="P252" i="3"/>
  <c r="O252" i="3"/>
  <c r="S252" i="3" s="1"/>
  <c r="N252" i="3"/>
  <c r="U251" i="3"/>
  <c r="T251" i="3"/>
  <c r="R251" i="3"/>
  <c r="Q251" i="3"/>
  <c r="P251" i="3"/>
  <c r="O251" i="3"/>
  <c r="S251" i="3" s="1"/>
  <c r="N251" i="3"/>
  <c r="U250" i="3"/>
  <c r="T250" i="3"/>
  <c r="Q250" i="3"/>
  <c r="R250" i="3" s="1"/>
  <c r="P250" i="3"/>
  <c r="O250" i="3"/>
  <c r="N250" i="3"/>
  <c r="U249" i="3"/>
  <c r="T249" i="3"/>
  <c r="R249" i="3"/>
  <c r="Q249" i="3"/>
  <c r="P249" i="3"/>
  <c r="O249" i="3"/>
  <c r="S249" i="3" s="1"/>
  <c r="N249" i="3"/>
  <c r="U248" i="3"/>
  <c r="T248" i="3"/>
  <c r="Q248" i="3"/>
  <c r="R248" i="3" s="1"/>
  <c r="P248" i="3"/>
  <c r="O248" i="3"/>
  <c r="N248" i="3"/>
  <c r="U247" i="3"/>
  <c r="T247" i="3"/>
  <c r="Q247" i="3"/>
  <c r="R247" i="3" s="1"/>
  <c r="P247" i="3"/>
  <c r="O247" i="3"/>
  <c r="N247" i="3"/>
  <c r="U246" i="3"/>
  <c r="T246" i="3"/>
  <c r="R246" i="3"/>
  <c r="Q246" i="3"/>
  <c r="P246" i="3"/>
  <c r="O246" i="3"/>
  <c r="N246" i="3"/>
  <c r="U245" i="3"/>
  <c r="T245" i="3"/>
  <c r="Q245" i="3"/>
  <c r="R245" i="3" s="1"/>
  <c r="P245" i="3"/>
  <c r="O245" i="3"/>
  <c r="N245" i="3"/>
  <c r="U244" i="3"/>
  <c r="T244" i="3"/>
  <c r="R244" i="3"/>
  <c r="Q244" i="3"/>
  <c r="P244" i="3"/>
  <c r="O244" i="3"/>
  <c r="S244" i="3" s="1"/>
  <c r="N244" i="3"/>
  <c r="U243" i="3"/>
  <c r="T243" i="3"/>
  <c r="Q243" i="3"/>
  <c r="R243" i="3" s="1"/>
  <c r="P243" i="3"/>
  <c r="O243" i="3"/>
  <c r="N243" i="3"/>
  <c r="U242" i="3"/>
  <c r="T242" i="3"/>
  <c r="R242" i="3"/>
  <c r="Q242" i="3"/>
  <c r="P242" i="3"/>
  <c r="O242" i="3"/>
  <c r="N242" i="3"/>
  <c r="U241" i="3"/>
  <c r="T241" i="3"/>
  <c r="Q241" i="3"/>
  <c r="R241" i="3" s="1"/>
  <c r="P241" i="3"/>
  <c r="O241" i="3"/>
  <c r="N241" i="3"/>
  <c r="U240" i="3"/>
  <c r="T240" i="3"/>
  <c r="R240" i="3"/>
  <c r="Q240" i="3"/>
  <c r="P240" i="3"/>
  <c r="O240" i="3"/>
  <c r="N240" i="3"/>
  <c r="U239" i="3"/>
  <c r="T239" i="3"/>
  <c r="Q239" i="3"/>
  <c r="R239" i="3" s="1"/>
  <c r="P239" i="3"/>
  <c r="O239" i="3"/>
  <c r="N239" i="3"/>
  <c r="U238" i="3"/>
  <c r="T238" i="3"/>
  <c r="R238" i="3"/>
  <c r="Q238" i="3"/>
  <c r="P238" i="3"/>
  <c r="O238" i="3"/>
  <c r="S238" i="3" s="1"/>
  <c r="N238" i="3"/>
  <c r="U237" i="3"/>
  <c r="T237" i="3"/>
  <c r="Q237" i="3"/>
  <c r="R237" i="3" s="1"/>
  <c r="P237" i="3"/>
  <c r="O237" i="3"/>
  <c r="N237" i="3"/>
  <c r="U236" i="3"/>
  <c r="T236" i="3"/>
  <c r="Q236" i="3"/>
  <c r="R236" i="3" s="1"/>
  <c r="P236" i="3"/>
  <c r="O236" i="3"/>
  <c r="N236" i="3"/>
  <c r="U235" i="3"/>
  <c r="T235" i="3"/>
  <c r="Q235" i="3"/>
  <c r="R235" i="3" s="1"/>
  <c r="P235" i="3"/>
  <c r="O235" i="3"/>
  <c r="N235" i="3"/>
  <c r="U234" i="3"/>
  <c r="T234" i="3"/>
  <c r="R234" i="3"/>
  <c r="Q234" i="3"/>
  <c r="P234" i="3"/>
  <c r="O234" i="3"/>
  <c r="N234" i="3"/>
  <c r="U233" i="3"/>
  <c r="T233" i="3"/>
  <c r="R233" i="3"/>
  <c r="Q233" i="3"/>
  <c r="P233" i="3"/>
  <c r="O233" i="3"/>
  <c r="N233" i="3"/>
  <c r="T232" i="3"/>
  <c r="P232" i="3"/>
  <c r="O232" i="3"/>
  <c r="N232" i="3"/>
  <c r="T231" i="3"/>
  <c r="P231" i="3"/>
  <c r="O231" i="3"/>
  <c r="N231" i="3"/>
  <c r="T230" i="3"/>
  <c r="P230" i="3"/>
  <c r="S230" i="3" s="1"/>
  <c r="O230" i="3"/>
  <c r="N230" i="3"/>
  <c r="T229" i="3"/>
  <c r="P229" i="3"/>
  <c r="O229" i="3"/>
  <c r="N229" i="3"/>
  <c r="T228" i="3"/>
  <c r="P228" i="3"/>
  <c r="O228" i="3"/>
  <c r="N228" i="3"/>
  <c r="T227" i="3"/>
  <c r="P227" i="3"/>
  <c r="S227" i="3" s="1"/>
  <c r="O227" i="3"/>
  <c r="N227" i="3"/>
  <c r="T226" i="3"/>
  <c r="S226" i="3"/>
  <c r="P226" i="3"/>
  <c r="O226" i="3"/>
  <c r="N226" i="3"/>
  <c r="T225" i="3"/>
  <c r="P225" i="3"/>
  <c r="O225" i="3"/>
  <c r="N225" i="3"/>
  <c r="T224" i="3"/>
  <c r="P224" i="3"/>
  <c r="O224" i="3"/>
  <c r="N224" i="3"/>
  <c r="T223" i="3"/>
  <c r="P223" i="3"/>
  <c r="S223" i="3" s="1"/>
  <c r="O223" i="3"/>
  <c r="N223" i="3"/>
  <c r="T222" i="3"/>
  <c r="S222" i="3"/>
  <c r="P222" i="3"/>
  <c r="O222" i="3"/>
  <c r="N222" i="3"/>
  <c r="T221" i="3"/>
  <c r="P221" i="3"/>
  <c r="O221" i="3"/>
  <c r="N221" i="3"/>
  <c r="T220" i="3"/>
  <c r="P220" i="3"/>
  <c r="O220" i="3"/>
  <c r="N220" i="3"/>
  <c r="T219" i="3"/>
  <c r="S219" i="3"/>
  <c r="P219" i="3"/>
  <c r="O219" i="3"/>
  <c r="N219" i="3"/>
  <c r="T218" i="3"/>
  <c r="S218" i="3"/>
  <c r="P218" i="3"/>
  <c r="O218" i="3"/>
  <c r="N218" i="3"/>
  <c r="T217" i="3"/>
  <c r="P217" i="3"/>
  <c r="O217" i="3"/>
  <c r="N217" i="3"/>
  <c r="T216" i="3"/>
  <c r="S216" i="3"/>
  <c r="R216" i="3"/>
  <c r="P216" i="3"/>
  <c r="O216" i="3"/>
  <c r="N216" i="3"/>
  <c r="T215" i="3"/>
  <c r="P215" i="3"/>
  <c r="S215" i="3" s="1"/>
  <c r="O215" i="3"/>
  <c r="N215" i="3"/>
  <c r="T214" i="3"/>
  <c r="S214" i="3"/>
  <c r="R214" i="3"/>
  <c r="P214" i="3"/>
  <c r="O214" i="3"/>
  <c r="N214" i="3"/>
  <c r="T213" i="3"/>
  <c r="S213" i="3"/>
  <c r="P213" i="3"/>
  <c r="O213" i="3"/>
  <c r="N213" i="3"/>
  <c r="T212" i="3"/>
  <c r="S212" i="3"/>
  <c r="R212" i="3"/>
  <c r="P212" i="3"/>
  <c r="O212" i="3"/>
  <c r="N212" i="3"/>
  <c r="T211" i="3"/>
  <c r="P211" i="3"/>
  <c r="S211" i="3" s="1"/>
  <c r="O211" i="3"/>
  <c r="N211" i="3"/>
  <c r="T210" i="3"/>
  <c r="P210" i="3"/>
  <c r="S210" i="3" s="1"/>
  <c r="O210" i="3"/>
  <c r="N210" i="3"/>
  <c r="T209" i="3"/>
  <c r="S209" i="3"/>
  <c r="P209" i="3"/>
  <c r="O209" i="3"/>
  <c r="N209" i="3"/>
  <c r="T208" i="3"/>
  <c r="S208" i="3"/>
  <c r="R208" i="3"/>
  <c r="P208" i="3"/>
  <c r="O208" i="3"/>
  <c r="N208" i="3"/>
  <c r="T207" i="3"/>
  <c r="P207" i="3"/>
  <c r="S207" i="3" s="1"/>
  <c r="O207" i="3"/>
  <c r="N207" i="3"/>
  <c r="T206" i="3"/>
  <c r="S206" i="3"/>
  <c r="R206" i="3"/>
  <c r="P206" i="3"/>
  <c r="O206" i="3"/>
  <c r="N206" i="3"/>
  <c r="T205" i="3"/>
  <c r="S205" i="3"/>
  <c r="P205" i="3"/>
  <c r="O205" i="3"/>
  <c r="N205" i="3"/>
  <c r="T204" i="3"/>
  <c r="S204" i="3"/>
  <c r="R204" i="3"/>
  <c r="P204" i="3"/>
  <c r="O204" i="3"/>
  <c r="N204" i="3"/>
  <c r="T203" i="3"/>
  <c r="S203" i="3"/>
  <c r="P203" i="3"/>
  <c r="O203" i="3"/>
  <c r="N203" i="3"/>
  <c r="T202" i="3"/>
  <c r="P202" i="3"/>
  <c r="S202" i="3" s="1"/>
  <c r="O202" i="3"/>
  <c r="N202" i="3"/>
  <c r="T201" i="3"/>
  <c r="S201" i="3"/>
  <c r="P201" i="3"/>
  <c r="O201" i="3"/>
  <c r="N201" i="3"/>
  <c r="T200" i="3"/>
  <c r="R200" i="3"/>
  <c r="P200" i="3"/>
  <c r="S200" i="3" s="1"/>
  <c r="O200" i="3"/>
  <c r="N200" i="3"/>
  <c r="T199" i="3"/>
  <c r="S199" i="3"/>
  <c r="P199" i="3"/>
  <c r="O199" i="3"/>
  <c r="N199" i="3"/>
  <c r="T198" i="3"/>
  <c r="S198" i="3"/>
  <c r="R198" i="3"/>
  <c r="P198" i="3"/>
  <c r="O198" i="3"/>
  <c r="N198" i="3"/>
  <c r="T197" i="3"/>
  <c r="S197" i="3"/>
  <c r="P197" i="3"/>
  <c r="O197" i="3"/>
  <c r="N197" i="3"/>
  <c r="T196" i="3"/>
  <c r="P196" i="3"/>
  <c r="O196" i="3"/>
  <c r="U196" i="3" s="1"/>
  <c r="N196" i="3"/>
  <c r="T195" i="3"/>
  <c r="P195" i="3"/>
  <c r="O195" i="3"/>
  <c r="U195" i="3" s="1"/>
  <c r="N195" i="3"/>
  <c r="T194" i="3"/>
  <c r="R194" i="3"/>
  <c r="P194" i="3"/>
  <c r="O194" i="3"/>
  <c r="U194" i="3" s="1"/>
  <c r="N194" i="3"/>
  <c r="T193" i="3"/>
  <c r="P193" i="3"/>
  <c r="O193" i="3"/>
  <c r="U193" i="3" s="1"/>
  <c r="N193" i="3"/>
  <c r="T192" i="3"/>
  <c r="P192" i="3"/>
  <c r="O192" i="3"/>
  <c r="U192" i="3" s="1"/>
  <c r="N192" i="3"/>
  <c r="T191" i="3"/>
  <c r="R191" i="3"/>
  <c r="P191" i="3"/>
  <c r="O191" i="3"/>
  <c r="U191" i="3" s="1"/>
  <c r="N191" i="3"/>
  <c r="T190" i="3"/>
  <c r="P190" i="3"/>
  <c r="O190" i="3"/>
  <c r="U190" i="3" s="1"/>
  <c r="N190" i="3"/>
  <c r="T189" i="3"/>
  <c r="R189" i="3"/>
  <c r="P189" i="3"/>
  <c r="O189" i="3"/>
  <c r="U189" i="3" s="1"/>
  <c r="N189" i="3"/>
  <c r="T188" i="3"/>
  <c r="R188" i="3"/>
  <c r="P188" i="3"/>
  <c r="O188" i="3"/>
  <c r="U188" i="3" s="1"/>
  <c r="N188" i="3"/>
  <c r="T187" i="3"/>
  <c r="R187" i="3"/>
  <c r="P187" i="3"/>
  <c r="O187" i="3"/>
  <c r="U187" i="3" s="1"/>
  <c r="N187" i="3"/>
  <c r="T186" i="3"/>
  <c r="P186" i="3"/>
  <c r="O186" i="3"/>
  <c r="U186" i="3" s="1"/>
  <c r="N186" i="3"/>
  <c r="T185" i="3"/>
  <c r="P185" i="3"/>
  <c r="O185" i="3"/>
  <c r="U185" i="3" s="1"/>
  <c r="N185" i="3"/>
  <c r="T184" i="3"/>
  <c r="R184" i="3"/>
  <c r="P184" i="3"/>
  <c r="O184" i="3"/>
  <c r="U184" i="3" s="1"/>
  <c r="N184" i="3"/>
  <c r="T183" i="3"/>
  <c r="R183" i="3"/>
  <c r="P183" i="3"/>
  <c r="O183" i="3"/>
  <c r="U183" i="3" s="1"/>
  <c r="N183" i="3"/>
  <c r="T182" i="3"/>
  <c r="P182" i="3"/>
  <c r="O182" i="3"/>
  <c r="U182" i="3" s="1"/>
  <c r="N182" i="3"/>
  <c r="T181" i="3"/>
  <c r="R181" i="3"/>
  <c r="P181" i="3"/>
  <c r="O181" i="3"/>
  <c r="U181" i="3" s="1"/>
  <c r="N181" i="3"/>
  <c r="T180" i="3"/>
  <c r="R180" i="3"/>
  <c r="P180" i="3"/>
  <c r="O180" i="3"/>
  <c r="U180" i="3" s="1"/>
  <c r="N180" i="3"/>
  <c r="T179" i="3"/>
  <c r="P179" i="3"/>
  <c r="O179" i="3"/>
  <c r="U179" i="3" s="1"/>
  <c r="N179" i="3"/>
  <c r="T178" i="3"/>
  <c r="R178" i="3"/>
  <c r="P178" i="3"/>
  <c r="O178" i="3"/>
  <c r="U178" i="3" s="1"/>
  <c r="N178" i="3"/>
  <c r="T177" i="3"/>
  <c r="P177" i="3"/>
  <c r="O177" i="3"/>
  <c r="U177" i="3" s="1"/>
  <c r="N177" i="3"/>
  <c r="T176" i="3"/>
  <c r="R176" i="3"/>
  <c r="P176" i="3"/>
  <c r="O176" i="3"/>
  <c r="U176" i="3" s="1"/>
  <c r="N176" i="3"/>
  <c r="T175" i="3"/>
  <c r="P175" i="3"/>
  <c r="O175" i="3"/>
  <c r="S175" i="3" s="1"/>
  <c r="N175" i="3"/>
  <c r="T174" i="3"/>
  <c r="P174" i="3"/>
  <c r="O174" i="3"/>
  <c r="S174" i="3" s="1"/>
  <c r="N174" i="3"/>
  <c r="T173" i="3"/>
  <c r="P173" i="3"/>
  <c r="O173" i="3"/>
  <c r="S173" i="3" s="1"/>
  <c r="N173" i="3"/>
  <c r="T172" i="3"/>
  <c r="P172" i="3"/>
  <c r="O172" i="3"/>
  <c r="N172" i="3"/>
  <c r="T171" i="3"/>
  <c r="P171" i="3"/>
  <c r="O171" i="3"/>
  <c r="N171" i="3"/>
  <c r="T170" i="3"/>
  <c r="R170" i="3"/>
  <c r="P170" i="3"/>
  <c r="O170" i="3"/>
  <c r="S170" i="3" s="1"/>
  <c r="N170" i="3"/>
  <c r="T169" i="3"/>
  <c r="P169" i="3"/>
  <c r="O169" i="3"/>
  <c r="N169" i="3"/>
  <c r="T168" i="3"/>
  <c r="R168" i="3"/>
  <c r="P168" i="3"/>
  <c r="O168" i="3"/>
  <c r="S168" i="3" s="1"/>
  <c r="N168" i="3"/>
  <c r="T167" i="3"/>
  <c r="P167" i="3"/>
  <c r="O167" i="3"/>
  <c r="N167" i="3"/>
  <c r="T166" i="3"/>
  <c r="R166" i="3"/>
  <c r="P166" i="3"/>
  <c r="O166" i="3"/>
  <c r="S166" i="3" s="1"/>
  <c r="N166" i="3"/>
  <c r="T165" i="3"/>
  <c r="P165" i="3"/>
  <c r="O165" i="3"/>
  <c r="N165" i="3"/>
  <c r="T164" i="3"/>
  <c r="P164" i="3"/>
  <c r="O164" i="3"/>
  <c r="N164" i="3"/>
  <c r="T163" i="3"/>
  <c r="P163" i="3"/>
  <c r="O163" i="3"/>
  <c r="N163" i="3"/>
  <c r="T162" i="3"/>
  <c r="R162" i="3"/>
  <c r="P162" i="3"/>
  <c r="O162" i="3"/>
  <c r="S162" i="3" s="1"/>
  <c r="N162" i="3"/>
  <c r="T161" i="3"/>
  <c r="P161" i="3"/>
  <c r="O161" i="3"/>
  <c r="S161" i="3" s="1"/>
  <c r="N161" i="3"/>
  <c r="T160" i="3"/>
  <c r="P160" i="3"/>
  <c r="O160" i="3"/>
  <c r="N160" i="3"/>
  <c r="T159" i="3"/>
  <c r="P159" i="3"/>
  <c r="O159" i="3"/>
  <c r="N159" i="3"/>
  <c r="T158" i="3"/>
  <c r="P158" i="3"/>
  <c r="O158" i="3"/>
  <c r="N158" i="3"/>
  <c r="T157" i="3"/>
  <c r="P157" i="3"/>
  <c r="O157" i="3"/>
  <c r="N157" i="3"/>
  <c r="T156" i="3"/>
  <c r="R156" i="3"/>
  <c r="P156" i="3"/>
  <c r="O156" i="3"/>
  <c r="S156" i="3" s="1"/>
  <c r="N156" i="3"/>
  <c r="T155" i="3"/>
  <c r="P155" i="3"/>
  <c r="O155" i="3"/>
  <c r="S155" i="3" s="1"/>
  <c r="N155" i="3"/>
  <c r="T154" i="3"/>
  <c r="P154" i="3"/>
  <c r="O154" i="3"/>
  <c r="N154" i="3"/>
  <c r="T153" i="3"/>
  <c r="P153" i="3"/>
  <c r="O153" i="3"/>
  <c r="S153" i="3" s="1"/>
  <c r="N153" i="3"/>
  <c r="T152" i="3"/>
  <c r="R152" i="3"/>
  <c r="P152" i="3"/>
  <c r="O152" i="3"/>
  <c r="S152" i="3" s="1"/>
  <c r="N152" i="3"/>
  <c r="T151" i="3"/>
  <c r="P151" i="3"/>
  <c r="O151" i="3"/>
  <c r="S151" i="3" s="1"/>
  <c r="N151" i="3"/>
  <c r="T150" i="3"/>
  <c r="P150" i="3"/>
  <c r="O150" i="3"/>
  <c r="N150" i="3"/>
  <c r="T149" i="3"/>
  <c r="P149" i="3"/>
  <c r="O149" i="3"/>
  <c r="S149" i="3" s="1"/>
  <c r="N149" i="3"/>
  <c r="T148" i="3"/>
  <c r="P148" i="3"/>
  <c r="O148" i="3"/>
  <c r="S148" i="3" s="1"/>
  <c r="N148" i="3"/>
  <c r="T147" i="3"/>
  <c r="P147" i="3"/>
  <c r="O147" i="3"/>
  <c r="S147" i="3" s="1"/>
  <c r="N147" i="3"/>
  <c r="T146" i="3"/>
  <c r="R146" i="3"/>
  <c r="P146" i="3"/>
  <c r="O146" i="3"/>
  <c r="S146" i="3" s="1"/>
  <c r="N146" i="3"/>
  <c r="T145" i="3"/>
  <c r="P145" i="3"/>
  <c r="O145" i="3"/>
  <c r="S145" i="3" s="1"/>
  <c r="N145" i="3"/>
  <c r="T144" i="3"/>
  <c r="R144" i="3"/>
  <c r="P144" i="3"/>
  <c r="O144" i="3"/>
  <c r="S144" i="3" s="1"/>
  <c r="N144" i="3"/>
  <c r="T143" i="3"/>
  <c r="P143" i="3"/>
  <c r="O143" i="3"/>
  <c r="S143" i="3" s="1"/>
  <c r="N143" i="3"/>
  <c r="T142" i="3"/>
  <c r="P142" i="3"/>
  <c r="O142" i="3"/>
  <c r="S142" i="3" s="1"/>
  <c r="N142" i="3"/>
  <c r="T141" i="3"/>
  <c r="P141" i="3"/>
  <c r="O141" i="3"/>
  <c r="S141" i="3" s="1"/>
  <c r="N141" i="3"/>
  <c r="T140" i="3"/>
  <c r="R140" i="3"/>
  <c r="P140" i="3"/>
  <c r="O140" i="3"/>
  <c r="S140" i="3" s="1"/>
  <c r="N140" i="3"/>
  <c r="T139" i="3"/>
  <c r="P139" i="3"/>
  <c r="O139" i="3"/>
  <c r="N139" i="3"/>
  <c r="T138" i="3"/>
  <c r="R138" i="3"/>
  <c r="P138" i="3"/>
  <c r="O138" i="3"/>
  <c r="S138" i="3" s="1"/>
  <c r="N138" i="3"/>
  <c r="T137" i="3"/>
  <c r="P137" i="3"/>
  <c r="O137" i="3"/>
  <c r="S137" i="3" s="1"/>
  <c r="N137" i="3"/>
  <c r="T136" i="3"/>
  <c r="R136" i="3"/>
  <c r="P136" i="3"/>
  <c r="O136" i="3"/>
  <c r="S136" i="3" s="1"/>
  <c r="N136" i="3"/>
  <c r="T135" i="3"/>
  <c r="P135" i="3"/>
  <c r="O135" i="3"/>
  <c r="S135" i="3" s="1"/>
  <c r="N135" i="3"/>
  <c r="T134" i="3"/>
  <c r="P134" i="3"/>
  <c r="O134" i="3"/>
  <c r="N134" i="3"/>
  <c r="T133" i="3"/>
  <c r="P133" i="3"/>
  <c r="O133" i="3"/>
  <c r="S133" i="3" s="1"/>
  <c r="N133" i="3"/>
  <c r="T132" i="3"/>
  <c r="P132" i="3"/>
  <c r="O132" i="3"/>
  <c r="N132" i="3"/>
  <c r="T131" i="3"/>
  <c r="P131" i="3"/>
  <c r="O131" i="3"/>
  <c r="N131" i="3"/>
  <c r="T130" i="3"/>
  <c r="P130" i="3"/>
  <c r="O130" i="3"/>
  <c r="N130" i="3"/>
  <c r="T129" i="3"/>
  <c r="P129" i="3"/>
  <c r="O129" i="3"/>
  <c r="N129" i="3"/>
  <c r="T128" i="3"/>
  <c r="P128" i="3"/>
  <c r="O128" i="3"/>
  <c r="N128" i="3"/>
  <c r="T127" i="3"/>
  <c r="P127" i="3"/>
  <c r="O127" i="3"/>
  <c r="S127" i="3" s="1"/>
  <c r="N127" i="3"/>
  <c r="T126" i="3"/>
  <c r="R126" i="3"/>
  <c r="P126" i="3"/>
  <c r="O126" i="3"/>
  <c r="S126" i="3" s="1"/>
  <c r="N126" i="3"/>
  <c r="T125" i="3"/>
  <c r="P125" i="3"/>
  <c r="O125" i="3"/>
  <c r="N125" i="3"/>
  <c r="T124" i="3"/>
  <c r="R124" i="3"/>
  <c r="P124" i="3"/>
  <c r="O124" i="3"/>
  <c r="S124" i="3" s="1"/>
  <c r="N124" i="3"/>
  <c r="T123" i="3"/>
  <c r="P123" i="3"/>
  <c r="O123" i="3"/>
  <c r="S123" i="3" s="1"/>
  <c r="N123" i="3"/>
  <c r="T122" i="3"/>
  <c r="R122" i="3"/>
  <c r="P122" i="3"/>
  <c r="O122" i="3"/>
  <c r="S122" i="3" s="1"/>
  <c r="N122" i="3"/>
  <c r="T121" i="3"/>
  <c r="P121" i="3"/>
  <c r="O121" i="3"/>
  <c r="S121" i="3" s="1"/>
  <c r="N121" i="3"/>
  <c r="T120" i="3"/>
  <c r="P120" i="3"/>
  <c r="O120" i="3"/>
  <c r="U120" i="3" s="1"/>
  <c r="N120" i="3"/>
  <c r="T119" i="3"/>
  <c r="P119" i="3"/>
  <c r="O119" i="3"/>
  <c r="U119" i="3" s="1"/>
  <c r="N119" i="3"/>
  <c r="T118" i="3"/>
  <c r="P118" i="3"/>
  <c r="O118" i="3"/>
  <c r="U118" i="3" s="1"/>
  <c r="N118" i="3"/>
  <c r="T117" i="3"/>
  <c r="P117" i="3"/>
  <c r="O117" i="3"/>
  <c r="U117" i="3" s="1"/>
  <c r="N117" i="3"/>
  <c r="T116" i="3"/>
  <c r="P116" i="3"/>
  <c r="O116" i="3"/>
  <c r="U116" i="3" s="1"/>
  <c r="N116" i="3"/>
  <c r="T115" i="3"/>
  <c r="P115" i="3"/>
  <c r="O115" i="3"/>
  <c r="U115" i="3" s="1"/>
  <c r="N115" i="3"/>
  <c r="T114" i="3"/>
  <c r="P114" i="3"/>
  <c r="O114" i="3"/>
  <c r="U114" i="3" s="1"/>
  <c r="N114" i="3"/>
  <c r="T113" i="3"/>
  <c r="P113" i="3"/>
  <c r="O113" i="3"/>
  <c r="U113" i="3" s="1"/>
  <c r="N113" i="3"/>
  <c r="T112" i="3"/>
  <c r="P112" i="3"/>
  <c r="O112" i="3"/>
  <c r="U112" i="3" s="1"/>
  <c r="N112" i="3"/>
  <c r="T111" i="3"/>
  <c r="P111" i="3"/>
  <c r="O111" i="3"/>
  <c r="U111" i="3" s="1"/>
  <c r="N111" i="3"/>
  <c r="T110" i="3"/>
  <c r="P110" i="3"/>
  <c r="O110" i="3"/>
  <c r="U110" i="3" s="1"/>
  <c r="N110" i="3"/>
  <c r="T109" i="3"/>
  <c r="P109" i="3"/>
  <c r="O109" i="3"/>
  <c r="U109" i="3" s="1"/>
  <c r="N109" i="3"/>
  <c r="T108" i="3"/>
  <c r="P108" i="3"/>
  <c r="O108" i="3"/>
  <c r="U108" i="3" s="1"/>
  <c r="N108" i="3"/>
  <c r="T107" i="3"/>
  <c r="P107" i="3"/>
  <c r="O107" i="3"/>
  <c r="U107" i="3" s="1"/>
  <c r="N107" i="3"/>
  <c r="T106" i="3"/>
  <c r="P106" i="3"/>
  <c r="O106" i="3"/>
  <c r="U106" i="3" s="1"/>
  <c r="N106" i="3"/>
  <c r="T105" i="3"/>
  <c r="P105" i="3"/>
  <c r="O105" i="3"/>
  <c r="U105" i="3" s="1"/>
  <c r="N105" i="3"/>
  <c r="T104" i="3"/>
  <c r="P104" i="3"/>
  <c r="O104" i="3"/>
  <c r="U104" i="3" s="1"/>
  <c r="N104" i="3"/>
  <c r="T103" i="3"/>
  <c r="P103" i="3"/>
  <c r="O103" i="3"/>
  <c r="U103" i="3" s="1"/>
  <c r="N103" i="3"/>
  <c r="T102" i="3"/>
  <c r="P102" i="3"/>
  <c r="O102" i="3"/>
  <c r="U102" i="3" s="1"/>
  <c r="N102" i="3"/>
  <c r="T101" i="3"/>
  <c r="P101" i="3"/>
  <c r="O101" i="3"/>
  <c r="U101" i="3" s="1"/>
  <c r="N101" i="3"/>
  <c r="T100" i="3"/>
  <c r="P100" i="3"/>
  <c r="O100" i="3"/>
  <c r="U100" i="3" s="1"/>
  <c r="N100" i="3"/>
  <c r="T99" i="3"/>
  <c r="P99" i="3"/>
  <c r="O99" i="3"/>
  <c r="U99" i="3" s="1"/>
  <c r="N99" i="3"/>
  <c r="T98" i="3"/>
  <c r="P98" i="3"/>
  <c r="O98" i="3"/>
  <c r="U98" i="3" s="1"/>
  <c r="N98" i="3"/>
  <c r="T97" i="3"/>
  <c r="P97" i="3"/>
  <c r="O97" i="3"/>
  <c r="U97" i="3" s="1"/>
  <c r="N97" i="3"/>
  <c r="T96" i="3"/>
  <c r="P96" i="3"/>
  <c r="O96" i="3"/>
  <c r="U96" i="3" s="1"/>
  <c r="N96" i="3"/>
  <c r="T95" i="3"/>
  <c r="P95" i="3"/>
  <c r="O95" i="3"/>
  <c r="U95" i="3" s="1"/>
  <c r="N95" i="3"/>
  <c r="T94" i="3"/>
  <c r="P94" i="3"/>
  <c r="O94" i="3"/>
  <c r="U94" i="3" s="1"/>
  <c r="N94" i="3"/>
  <c r="T93" i="3"/>
  <c r="P93" i="3"/>
  <c r="O93" i="3"/>
  <c r="U93" i="3" s="1"/>
  <c r="N93" i="3"/>
  <c r="T92" i="3"/>
  <c r="P92" i="3"/>
  <c r="O92" i="3"/>
  <c r="U92" i="3" s="1"/>
  <c r="N92" i="3"/>
  <c r="T91" i="3"/>
  <c r="P91" i="3"/>
  <c r="O91" i="3"/>
  <c r="U91" i="3" s="1"/>
  <c r="N91" i="3"/>
  <c r="T90" i="3"/>
  <c r="P90" i="3"/>
  <c r="O90" i="3"/>
  <c r="U90" i="3" s="1"/>
  <c r="N90" i="3"/>
  <c r="T89" i="3"/>
  <c r="P89" i="3"/>
  <c r="O89" i="3"/>
  <c r="U89" i="3" s="1"/>
  <c r="N89" i="3"/>
  <c r="T88" i="3"/>
  <c r="P88" i="3"/>
  <c r="O88" i="3"/>
  <c r="U88" i="3" s="1"/>
  <c r="N88" i="3"/>
  <c r="T87" i="3"/>
  <c r="P87" i="3"/>
  <c r="O87" i="3"/>
  <c r="U87" i="3" s="1"/>
  <c r="N87" i="3"/>
  <c r="T86" i="3"/>
  <c r="P86" i="3"/>
  <c r="O86" i="3"/>
  <c r="U86" i="3" s="1"/>
  <c r="N86" i="3"/>
  <c r="T85" i="3"/>
  <c r="P85" i="3"/>
  <c r="O85" i="3"/>
  <c r="U85" i="3" s="1"/>
  <c r="N85" i="3"/>
  <c r="T84" i="3"/>
  <c r="P84" i="3"/>
  <c r="O84" i="3"/>
  <c r="U84" i="3" s="1"/>
  <c r="N84" i="3"/>
  <c r="T83" i="3"/>
  <c r="P83" i="3"/>
  <c r="O83" i="3"/>
  <c r="U83" i="3" s="1"/>
  <c r="N83" i="3"/>
  <c r="T82" i="3"/>
  <c r="P82" i="3"/>
  <c r="O82" i="3"/>
  <c r="U82" i="3" s="1"/>
  <c r="N82" i="3"/>
  <c r="T81" i="3"/>
  <c r="P81" i="3"/>
  <c r="O81" i="3"/>
  <c r="U81" i="3" s="1"/>
  <c r="N81" i="3"/>
  <c r="T80" i="3"/>
  <c r="P80" i="3"/>
  <c r="O80" i="3"/>
  <c r="U80" i="3" s="1"/>
  <c r="N80" i="3"/>
  <c r="T79" i="3"/>
  <c r="P79" i="3"/>
  <c r="O79" i="3"/>
  <c r="U79" i="3" s="1"/>
  <c r="N79" i="3"/>
  <c r="T78" i="3"/>
  <c r="P78" i="3"/>
  <c r="O78" i="3"/>
  <c r="U78" i="3" s="1"/>
  <c r="N78" i="3"/>
  <c r="T77" i="3"/>
  <c r="P77" i="3"/>
  <c r="O77" i="3"/>
  <c r="U77" i="3" s="1"/>
  <c r="N77" i="3"/>
  <c r="T76" i="3"/>
  <c r="P76" i="3"/>
  <c r="O76" i="3"/>
  <c r="U76" i="3" s="1"/>
  <c r="N76" i="3"/>
  <c r="T75" i="3"/>
  <c r="P75" i="3"/>
  <c r="O75" i="3"/>
  <c r="U75" i="3" s="1"/>
  <c r="N75" i="3"/>
  <c r="T74" i="3"/>
  <c r="P74" i="3"/>
  <c r="O74" i="3"/>
  <c r="U74" i="3" s="1"/>
  <c r="N74" i="3"/>
  <c r="T73" i="3"/>
  <c r="P73" i="3"/>
  <c r="O73" i="3"/>
  <c r="U73" i="3" s="1"/>
  <c r="N73" i="3"/>
  <c r="T72" i="3"/>
  <c r="P72" i="3"/>
  <c r="O72" i="3"/>
  <c r="U72" i="3" s="1"/>
  <c r="N72" i="3"/>
  <c r="T71" i="3"/>
  <c r="P71" i="3"/>
  <c r="O71" i="3"/>
  <c r="U71" i="3" s="1"/>
  <c r="N71" i="3"/>
  <c r="T70" i="3"/>
  <c r="P70" i="3"/>
  <c r="O70" i="3"/>
  <c r="U70" i="3" s="1"/>
  <c r="N70" i="3"/>
  <c r="T69" i="3"/>
  <c r="P69" i="3"/>
  <c r="O69" i="3"/>
  <c r="U69" i="3" s="1"/>
  <c r="N69" i="3"/>
  <c r="T68" i="3"/>
  <c r="P68" i="3"/>
  <c r="O68" i="3"/>
  <c r="U68" i="3" s="1"/>
  <c r="N68" i="3"/>
  <c r="T67" i="3"/>
  <c r="P67" i="3"/>
  <c r="O67" i="3"/>
  <c r="U67" i="3" s="1"/>
  <c r="N67" i="3"/>
  <c r="T66" i="3"/>
  <c r="P66" i="3"/>
  <c r="O66" i="3"/>
  <c r="U66" i="3" s="1"/>
  <c r="N66" i="3"/>
  <c r="T65" i="3"/>
  <c r="P65" i="3"/>
  <c r="O65" i="3"/>
  <c r="U65" i="3" s="1"/>
  <c r="N65" i="3"/>
  <c r="T64" i="3"/>
  <c r="P64" i="3"/>
  <c r="O64" i="3"/>
  <c r="U64" i="3" s="1"/>
  <c r="N64" i="3"/>
  <c r="T63" i="3"/>
  <c r="P63" i="3"/>
  <c r="O63" i="3"/>
  <c r="U63" i="3" s="1"/>
  <c r="N63" i="3"/>
  <c r="T62" i="3"/>
  <c r="P62" i="3"/>
  <c r="O62" i="3"/>
  <c r="U62" i="3" s="1"/>
  <c r="N62" i="3"/>
  <c r="T61" i="3"/>
  <c r="P61" i="3"/>
  <c r="O61" i="3"/>
  <c r="U61" i="3" s="1"/>
  <c r="N61" i="3"/>
  <c r="T60" i="3"/>
  <c r="P60" i="3"/>
  <c r="O60" i="3"/>
  <c r="U60" i="3" s="1"/>
  <c r="N60" i="3"/>
  <c r="T59" i="3"/>
  <c r="P59" i="3"/>
  <c r="O59" i="3"/>
  <c r="U59" i="3" s="1"/>
  <c r="N59" i="3"/>
  <c r="T58" i="3"/>
  <c r="P58" i="3"/>
  <c r="O58" i="3"/>
  <c r="U58" i="3" s="1"/>
  <c r="N58" i="3"/>
  <c r="T57" i="3"/>
  <c r="P57" i="3"/>
  <c r="O57" i="3"/>
  <c r="U57" i="3" s="1"/>
  <c r="N57" i="3"/>
  <c r="T56" i="3"/>
  <c r="P56" i="3"/>
  <c r="O56" i="3"/>
  <c r="U56" i="3" s="1"/>
  <c r="N56" i="3"/>
  <c r="T55" i="3"/>
  <c r="P55" i="3"/>
  <c r="O55" i="3"/>
  <c r="U55" i="3" s="1"/>
  <c r="N55" i="3"/>
  <c r="T54" i="3"/>
  <c r="P54" i="3"/>
  <c r="O54" i="3"/>
  <c r="U54" i="3" s="1"/>
  <c r="N54" i="3"/>
  <c r="T53" i="3"/>
  <c r="P53" i="3"/>
  <c r="O53" i="3"/>
  <c r="U53" i="3" s="1"/>
  <c r="N53" i="3"/>
  <c r="T52" i="3"/>
  <c r="P52" i="3"/>
  <c r="O52" i="3"/>
  <c r="U52" i="3" s="1"/>
  <c r="N52" i="3"/>
  <c r="T51" i="3"/>
  <c r="P51" i="3"/>
  <c r="O51" i="3"/>
  <c r="U51" i="3" s="1"/>
  <c r="N51" i="3"/>
  <c r="T50" i="3"/>
  <c r="P50" i="3"/>
  <c r="O50" i="3"/>
  <c r="U50" i="3" s="1"/>
  <c r="N50" i="3"/>
  <c r="T49" i="3"/>
  <c r="P49" i="3"/>
  <c r="O49" i="3"/>
  <c r="U49" i="3" s="1"/>
  <c r="N49" i="3"/>
  <c r="T48" i="3"/>
  <c r="P48" i="3"/>
  <c r="O48" i="3"/>
  <c r="U48" i="3" s="1"/>
  <c r="N48" i="3"/>
  <c r="T47" i="3"/>
  <c r="P47" i="3"/>
  <c r="O47" i="3"/>
  <c r="U47" i="3" s="1"/>
  <c r="N47" i="3"/>
  <c r="T46" i="3"/>
  <c r="P46" i="3"/>
  <c r="O46" i="3"/>
  <c r="U46" i="3" s="1"/>
  <c r="N46" i="3"/>
  <c r="T45" i="3"/>
  <c r="P45" i="3"/>
  <c r="O45" i="3"/>
  <c r="U45" i="3" s="1"/>
  <c r="N45" i="3"/>
  <c r="T44" i="3"/>
  <c r="P44" i="3"/>
  <c r="O44" i="3"/>
  <c r="U44" i="3" s="1"/>
  <c r="N44" i="3"/>
  <c r="T43" i="3"/>
  <c r="P43" i="3"/>
  <c r="O43" i="3"/>
  <c r="U43" i="3" s="1"/>
  <c r="N43" i="3"/>
  <c r="T42" i="3"/>
  <c r="P42" i="3"/>
  <c r="O42" i="3"/>
  <c r="U42" i="3" s="1"/>
  <c r="N42" i="3"/>
  <c r="T41" i="3"/>
  <c r="P41" i="3"/>
  <c r="O41" i="3"/>
  <c r="U41" i="3" s="1"/>
  <c r="N41" i="3"/>
  <c r="T40" i="3"/>
  <c r="P40" i="3"/>
  <c r="O40" i="3"/>
  <c r="U40" i="3" s="1"/>
  <c r="N40" i="3"/>
  <c r="T39" i="3"/>
  <c r="P39" i="3"/>
  <c r="O39" i="3"/>
  <c r="U39" i="3" s="1"/>
  <c r="N39" i="3"/>
  <c r="T38" i="3"/>
  <c r="P38" i="3"/>
  <c r="O38" i="3"/>
  <c r="U38" i="3" s="1"/>
  <c r="N38" i="3"/>
  <c r="T37" i="3"/>
  <c r="P37" i="3"/>
  <c r="O37" i="3"/>
  <c r="U37" i="3" s="1"/>
  <c r="N37" i="3"/>
  <c r="T36" i="3"/>
  <c r="P36" i="3"/>
  <c r="O36" i="3"/>
  <c r="U36" i="3" s="1"/>
  <c r="N36" i="3"/>
  <c r="T35" i="3"/>
  <c r="P35" i="3"/>
  <c r="O35" i="3"/>
  <c r="U35" i="3" s="1"/>
  <c r="N35" i="3"/>
  <c r="T34" i="3"/>
  <c r="P34" i="3"/>
  <c r="O34" i="3"/>
  <c r="U34" i="3" s="1"/>
  <c r="N34" i="3"/>
  <c r="T33" i="3"/>
  <c r="P33" i="3"/>
  <c r="O33" i="3"/>
  <c r="U33" i="3" s="1"/>
  <c r="N33" i="3"/>
  <c r="T32" i="3"/>
  <c r="P32" i="3"/>
  <c r="O32" i="3"/>
  <c r="U32" i="3" s="1"/>
  <c r="N32" i="3"/>
  <c r="T31" i="3"/>
  <c r="P31" i="3"/>
  <c r="O31" i="3"/>
  <c r="U31" i="3" s="1"/>
  <c r="N31" i="3"/>
  <c r="T30" i="3"/>
  <c r="P30" i="3"/>
  <c r="O30" i="3"/>
  <c r="U30" i="3" s="1"/>
  <c r="N30" i="3"/>
  <c r="T29" i="3"/>
  <c r="P29" i="3"/>
  <c r="O29" i="3"/>
  <c r="U29" i="3" s="1"/>
  <c r="N29" i="3"/>
  <c r="T28" i="3"/>
  <c r="P28" i="3"/>
  <c r="O28" i="3"/>
  <c r="U28" i="3" s="1"/>
  <c r="N28" i="3"/>
  <c r="T27" i="3"/>
  <c r="P27" i="3"/>
  <c r="O27" i="3"/>
  <c r="U27" i="3" s="1"/>
  <c r="N27" i="3"/>
  <c r="T26" i="3"/>
  <c r="P26" i="3"/>
  <c r="O26" i="3"/>
  <c r="U26" i="3" s="1"/>
  <c r="N26" i="3"/>
  <c r="T25" i="3"/>
  <c r="P25" i="3"/>
  <c r="O25" i="3"/>
  <c r="U25" i="3" s="1"/>
  <c r="N25" i="3"/>
  <c r="T24" i="3"/>
  <c r="P24" i="3"/>
  <c r="O24" i="3"/>
  <c r="U24" i="3" s="1"/>
  <c r="N24" i="3"/>
  <c r="T23" i="3"/>
  <c r="P23" i="3"/>
  <c r="O23" i="3"/>
  <c r="U23" i="3" s="1"/>
  <c r="N23" i="3"/>
  <c r="T22" i="3"/>
  <c r="R22" i="3"/>
  <c r="P22" i="3"/>
  <c r="O22" i="3"/>
  <c r="U22" i="3" s="1"/>
  <c r="N22" i="3"/>
  <c r="T21" i="3"/>
  <c r="R21" i="3"/>
  <c r="P21" i="3"/>
  <c r="O21" i="3"/>
  <c r="U21" i="3" s="1"/>
  <c r="N21" i="3"/>
  <c r="T20" i="3"/>
  <c r="R20" i="3"/>
  <c r="P20" i="3"/>
  <c r="O20" i="3"/>
  <c r="U20" i="3" s="1"/>
  <c r="N20" i="3"/>
  <c r="T19" i="3"/>
  <c r="R19" i="3"/>
  <c r="P19" i="3"/>
  <c r="O19" i="3"/>
  <c r="U19" i="3" s="1"/>
  <c r="N19" i="3"/>
  <c r="T18" i="3"/>
  <c r="P18" i="3"/>
  <c r="O18" i="3"/>
  <c r="U18" i="3" s="1"/>
  <c r="N18" i="3"/>
  <c r="T17" i="3"/>
  <c r="R17" i="3"/>
  <c r="P17" i="3"/>
  <c r="O17" i="3"/>
  <c r="U17" i="3" s="1"/>
  <c r="N17" i="3"/>
  <c r="T16" i="3"/>
  <c r="R16" i="3"/>
  <c r="P16" i="3"/>
  <c r="O16" i="3"/>
  <c r="U16" i="3" s="1"/>
  <c r="N16" i="3"/>
  <c r="T15" i="3"/>
  <c r="R15" i="3"/>
  <c r="P15" i="3"/>
  <c r="O15" i="3"/>
  <c r="U15" i="3" s="1"/>
  <c r="N15" i="3"/>
  <c r="T14" i="3"/>
  <c r="R14" i="3"/>
  <c r="P14" i="3"/>
  <c r="O14" i="3"/>
  <c r="U14" i="3" s="1"/>
  <c r="N14" i="3"/>
  <c r="T13" i="3"/>
  <c r="P13" i="3"/>
  <c r="O13" i="3"/>
  <c r="U13" i="3" s="1"/>
  <c r="N13" i="3"/>
  <c r="T12" i="3"/>
  <c r="P12" i="3"/>
  <c r="O12" i="3"/>
  <c r="U12" i="3" s="1"/>
  <c r="N12" i="3"/>
  <c r="T11" i="3"/>
  <c r="R11" i="3"/>
  <c r="P11" i="3"/>
  <c r="O11" i="3"/>
  <c r="U11" i="3" s="1"/>
  <c r="N11" i="3"/>
  <c r="T10" i="3"/>
  <c r="R10" i="3"/>
  <c r="P10" i="3"/>
  <c r="O10" i="3"/>
  <c r="U10" i="3" s="1"/>
  <c r="N10" i="3"/>
  <c r="T9" i="3"/>
  <c r="P9" i="3"/>
  <c r="O9" i="3"/>
  <c r="U9" i="3" s="1"/>
  <c r="N9" i="3"/>
  <c r="T8" i="3"/>
  <c r="P8" i="3"/>
  <c r="O8" i="3"/>
  <c r="U8" i="3" s="1"/>
  <c r="N8" i="3"/>
  <c r="T7" i="3"/>
  <c r="R7" i="3"/>
  <c r="P7" i="3"/>
  <c r="O7" i="3"/>
  <c r="U7" i="3" s="1"/>
  <c r="N7" i="3"/>
  <c r="T6" i="3"/>
  <c r="R6" i="3"/>
  <c r="P6" i="3"/>
  <c r="O6" i="3"/>
  <c r="U6" i="3" s="1"/>
  <c r="N6" i="3"/>
  <c r="T5" i="3"/>
  <c r="R5" i="3"/>
  <c r="P5" i="3"/>
  <c r="O5" i="3"/>
  <c r="U5" i="3" s="1"/>
  <c r="N5" i="3"/>
  <c r="T4" i="3"/>
  <c r="R4" i="3"/>
  <c r="P4" i="3"/>
  <c r="O4" i="3"/>
  <c r="U4" i="3" s="1"/>
  <c r="N4" i="3"/>
  <c r="T3" i="3"/>
  <c r="R3" i="3"/>
  <c r="P3" i="3"/>
  <c r="O3" i="3"/>
  <c r="U3" i="3" s="1"/>
  <c r="N3" i="3"/>
  <c r="T2" i="3"/>
  <c r="R2" i="3"/>
  <c r="P2" i="3"/>
  <c r="O2" i="3"/>
  <c r="U2" i="3" s="1"/>
  <c r="I83" i="2"/>
  <c r="I82" i="2"/>
  <c r="M51" i="1" s="1"/>
  <c r="H82" i="2"/>
  <c r="G82" i="2"/>
  <c r="E82" i="2"/>
  <c r="D82" i="2"/>
  <c r="C82" i="2"/>
  <c r="B82" i="2"/>
  <c r="F82" i="2" s="1"/>
  <c r="H51" i="1" s="1"/>
  <c r="I81" i="2"/>
  <c r="H81" i="2"/>
  <c r="G81" i="2"/>
  <c r="E81" i="2"/>
  <c r="D81" i="2"/>
  <c r="C81" i="2"/>
  <c r="F81" i="2" s="1"/>
  <c r="B81" i="2"/>
  <c r="I80" i="2"/>
  <c r="H80" i="2"/>
  <c r="G80" i="2"/>
  <c r="E80" i="2"/>
  <c r="D80" i="2"/>
  <c r="C80" i="2"/>
  <c r="F80" i="2" s="1"/>
  <c r="B80" i="2"/>
  <c r="I79" i="2"/>
  <c r="H79" i="2"/>
  <c r="G79" i="2"/>
  <c r="E79" i="2"/>
  <c r="D79" i="2"/>
  <c r="C79" i="2"/>
  <c r="F79" i="2" s="1"/>
  <c r="B79" i="2"/>
  <c r="I78" i="2"/>
  <c r="M47" i="1" s="1"/>
  <c r="H78" i="2"/>
  <c r="G78" i="2"/>
  <c r="E78" i="2"/>
  <c r="D78" i="2"/>
  <c r="C78" i="2"/>
  <c r="B78" i="2"/>
  <c r="D47" i="1" s="1"/>
  <c r="I77" i="2"/>
  <c r="M46" i="1" s="1"/>
  <c r="H77" i="2"/>
  <c r="G77" i="2"/>
  <c r="E77" i="2"/>
  <c r="D77" i="2"/>
  <c r="C77" i="2"/>
  <c r="B77" i="2"/>
  <c r="F77" i="2" s="1"/>
  <c r="I76" i="2"/>
  <c r="M45" i="1" s="1"/>
  <c r="H76" i="2"/>
  <c r="H83" i="2" s="1"/>
  <c r="G76" i="2"/>
  <c r="G83" i="2" s="1"/>
  <c r="E76" i="2"/>
  <c r="E83" i="2" s="1"/>
  <c r="D76" i="2"/>
  <c r="D83" i="2" s="1"/>
  <c r="C76" i="2"/>
  <c r="C83" i="2" s="1"/>
  <c r="B76" i="2"/>
  <c r="A32" i="2"/>
  <c r="B68" i="2"/>
  <c r="B66" i="1"/>
  <c r="B65" i="1"/>
  <c r="B64" i="1"/>
  <c r="B63" i="1"/>
  <c r="B62" i="1"/>
  <c r="B61" i="1"/>
  <c r="B60" i="1"/>
  <c r="B59" i="1"/>
  <c r="B58" i="1"/>
  <c r="B57" i="1"/>
  <c r="M52" i="1"/>
  <c r="K52" i="1"/>
  <c r="I52" i="1"/>
  <c r="G52" i="1"/>
  <c r="F52" i="1"/>
  <c r="E52" i="1"/>
  <c r="B52" i="1"/>
  <c r="K51" i="1"/>
  <c r="I51" i="1"/>
  <c r="G51" i="1"/>
  <c r="F51" i="1"/>
  <c r="E51" i="1"/>
  <c r="D51" i="1"/>
  <c r="B51" i="1"/>
  <c r="M50" i="1"/>
  <c r="K50" i="1"/>
  <c r="I50" i="1"/>
  <c r="H50" i="1"/>
  <c r="G50" i="1"/>
  <c r="F50" i="1"/>
  <c r="E50" i="1"/>
  <c r="D50" i="1"/>
  <c r="B50" i="1"/>
  <c r="M49" i="1"/>
  <c r="K49" i="1"/>
  <c r="I49" i="1"/>
  <c r="H49" i="1"/>
  <c r="G49" i="1"/>
  <c r="F49" i="1"/>
  <c r="E49" i="1"/>
  <c r="D49" i="1"/>
  <c r="B49" i="1"/>
  <c r="M48" i="1"/>
  <c r="K48" i="1"/>
  <c r="I48" i="1"/>
  <c r="H48" i="1"/>
  <c r="G48" i="1"/>
  <c r="F48" i="1"/>
  <c r="E48" i="1"/>
  <c r="D48" i="1"/>
  <c r="B48" i="1"/>
  <c r="K47" i="1"/>
  <c r="I47" i="1"/>
  <c r="G47" i="1"/>
  <c r="F47" i="1"/>
  <c r="E47" i="1"/>
  <c r="B47" i="1"/>
  <c r="K46" i="1"/>
  <c r="I46" i="1"/>
  <c r="H46" i="1"/>
  <c r="G46" i="1"/>
  <c r="F46" i="1"/>
  <c r="E46" i="1"/>
  <c r="D46" i="1"/>
  <c r="B46" i="1"/>
  <c r="K45" i="1"/>
  <c r="I45" i="1"/>
  <c r="G45" i="1"/>
  <c r="F45" i="1"/>
  <c r="E45" i="1"/>
  <c r="D45" i="1"/>
  <c r="B45" i="1"/>
  <c r="B2" i="1"/>
  <c r="C27" i="2" l="1"/>
  <c r="E53" i="2"/>
  <c r="B10" i="2"/>
  <c r="B9" i="1" s="1"/>
  <c r="C25" i="2"/>
  <c r="D32" i="2"/>
  <c r="B55" i="2"/>
  <c r="B59" i="2"/>
  <c r="B22" i="2"/>
  <c r="B26" i="2"/>
  <c r="B52" i="2"/>
  <c r="B56" i="2"/>
  <c r="B66" i="2"/>
  <c r="C23" i="2"/>
  <c r="B70" i="2"/>
  <c r="E57" i="2"/>
  <c r="B24" i="2"/>
  <c r="E32" i="2"/>
  <c r="E54" i="2"/>
  <c r="E58" i="2"/>
  <c r="S169" i="3"/>
  <c r="S236" i="3"/>
  <c r="S260" i="3"/>
  <c r="S268" i="3"/>
  <c r="S276" i="3"/>
  <c r="S303" i="3"/>
  <c r="S312" i="3"/>
  <c r="J82" i="2"/>
  <c r="N51" i="1" s="1"/>
  <c r="S307" i="3"/>
  <c r="S128" i="3"/>
  <c r="S131" i="3"/>
  <c r="S132" i="3"/>
  <c r="S134" i="3"/>
  <c r="S165" i="3"/>
  <c r="S234" i="3"/>
  <c r="S250" i="3"/>
  <c r="S256" i="3"/>
  <c r="S295" i="3"/>
  <c r="S316" i="3"/>
  <c r="S318" i="3"/>
  <c r="S125" i="3"/>
  <c r="S154" i="3"/>
  <c r="S163" i="3"/>
  <c r="S164" i="3"/>
  <c r="S171" i="3"/>
  <c r="S172" i="3"/>
  <c r="S242" i="3"/>
  <c r="S246" i="3"/>
  <c r="S264" i="3"/>
  <c r="S280" i="3"/>
  <c r="S283" i="3"/>
  <c r="S287" i="3"/>
  <c r="S296" i="3"/>
  <c r="S304" i="3"/>
  <c r="S315" i="3"/>
  <c r="L82" i="2"/>
  <c r="P51" i="1" s="1"/>
  <c r="S129" i="3"/>
  <c r="S130" i="3"/>
  <c r="S139" i="3"/>
  <c r="S150" i="3"/>
  <c r="S157" i="3"/>
  <c r="S158" i="3"/>
  <c r="S159" i="3"/>
  <c r="S160" i="3"/>
  <c r="S167" i="3"/>
  <c r="S231" i="3"/>
  <c r="S232" i="3"/>
  <c r="S240" i="3"/>
  <c r="S248" i="3"/>
  <c r="S262" i="3"/>
  <c r="S272" i="3"/>
  <c r="S292" i="3"/>
  <c r="S300" i="3"/>
  <c r="S308" i="3"/>
  <c r="S311" i="3"/>
  <c r="F78" i="2"/>
  <c r="H47" i="1" s="1"/>
  <c r="B7" i="2"/>
  <c r="H6" i="1" s="1"/>
  <c r="B11" i="2"/>
  <c r="E9" i="1" s="1"/>
  <c r="C22" i="2"/>
  <c r="C24" i="2"/>
  <c r="C26" i="2"/>
  <c r="B32" i="2"/>
  <c r="A33" i="2"/>
  <c r="E33" i="2"/>
  <c r="E52" i="2"/>
  <c r="B54" i="2"/>
  <c r="E56" i="2"/>
  <c r="B58" i="2"/>
  <c r="B83" i="2"/>
  <c r="D52" i="1" s="1"/>
  <c r="C59" i="2"/>
  <c r="D59" i="2" s="1"/>
  <c r="C58" i="2"/>
  <c r="C57" i="2"/>
  <c r="C56" i="2"/>
  <c r="D56" i="2" s="1"/>
  <c r="C55" i="2"/>
  <c r="D55" i="2" s="1"/>
  <c r="C54" i="2"/>
  <c r="C53" i="2"/>
  <c r="C52" i="2"/>
  <c r="D52" i="2" s="1"/>
  <c r="B69" i="2"/>
  <c r="B67" i="2"/>
  <c r="B65" i="2"/>
  <c r="B8" i="2"/>
  <c r="K6" i="1" s="1"/>
  <c r="B12" i="2"/>
  <c r="H9" i="1" s="1"/>
  <c r="B23" i="2"/>
  <c r="B25" i="2"/>
  <c r="B27" i="2"/>
  <c r="C32" i="2"/>
  <c r="B53" i="2"/>
  <c r="E55" i="2"/>
  <c r="B57" i="2"/>
  <c r="E59" i="2"/>
  <c r="F76" i="2"/>
  <c r="H45" i="1" s="1"/>
  <c r="R24" i="3"/>
  <c r="R28" i="3"/>
  <c r="R29" i="3"/>
  <c r="R30" i="3"/>
  <c r="R31" i="3"/>
  <c r="R32" i="3"/>
  <c r="R33" i="3"/>
  <c r="R34" i="3"/>
  <c r="R37" i="3"/>
  <c r="R39" i="3"/>
  <c r="R41" i="3"/>
  <c r="R42" i="3"/>
  <c r="R43" i="3"/>
  <c r="R44" i="3"/>
  <c r="R45" i="3"/>
  <c r="R47" i="3"/>
  <c r="R48" i="3"/>
  <c r="R49" i="3"/>
  <c r="R50" i="3"/>
  <c r="R51" i="3"/>
  <c r="R52" i="3"/>
  <c r="R54" i="3"/>
  <c r="R55" i="3"/>
  <c r="R56" i="3"/>
  <c r="R57" i="3"/>
  <c r="R58" i="3"/>
  <c r="R59" i="3"/>
  <c r="R60" i="3"/>
  <c r="R61" i="3"/>
  <c r="R62" i="3"/>
  <c r="R63" i="3"/>
  <c r="R64" i="3"/>
  <c r="R66" i="3"/>
  <c r="R67" i="3"/>
  <c r="R69" i="3"/>
  <c r="R72" i="3"/>
  <c r="R73" i="3"/>
  <c r="R75" i="3"/>
  <c r="R76" i="3"/>
  <c r="R77" i="3"/>
  <c r="R78" i="3"/>
  <c r="R79" i="3"/>
  <c r="R80" i="3"/>
  <c r="R81" i="3"/>
  <c r="R82" i="3"/>
  <c r="R83" i="3"/>
  <c r="R85" i="3"/>
  <c r="R86" i="3"/>
  <c r="R91" i="3"/>
  <c r="R92" i="3"/>
  <c r="R93" i="3"/>
  <c r="R94" i="3"/>
  <c r="R95" i="3"/>
  <c r="R96" i="3"/>
  <c r="R98" i="3"/>
  <c r="R100" i="3"/>
  <c r="R102" i="3"/>
  <c r="R103" i="3"/>
  <c r="R104" i="3"/>
  <c r="R106" i="3"/>
  <c r="R107" i="3"/>
  <c r="R109" i="3"/>
  <c r="R110" i="3"/>
  <c r="R113" i="3"/>
  <c r="R114" i="3"/>
  <c r="R116" i="3"/>
  <c r="R117" i="3"/>
  <c r="R118" i="3"/>
  <c r="R119" i="3"/>
  <c r="R120" i="3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U121" i="3"/>
  <c r="Q121" i="3"/>
  <c r="U123" i="3"/>
  <c r="Q123" i="3"/>
  <c r="U125" i="3"/>
  <c r="Q125" i="3"/>
  <c r="U127" i="3"/>
  <c r="Q127" i="3"/>
  <c r="U129" i="3"/>
  <c r="Q129" i="3"/>
  <c r="U131" i="3"/>
  <c r="Q131" i="3"/>
  <c r="R131" i="3" s="1"/>
  <c r="U133" i="3"/>
  <c r="Q133" i="3"/>
  <c r="U135" i="3"/>
  <c r="Q135" i="3"/>
  <c r="U137" i="3"/>
  <c r="Q137" i="3"/>
  <c r="U139" i="3"/>
  <c r="Q139" i="3"/>
  <c r="U141" i="3"/>
  <c r="Q141" i="3"/>
  <c r="U143" i="3"/>
  <c r="Q143" i="3"/>
  <c r="U145" i="3"/>
  <c r="Q145" i="3"/>
  <c r="U147" i="3"/>
  <c r="Q147" i="3"/>
  <c r="U149" i="3"/>
  <c r="Q149" i="3"/>
  <c r="U151" i="3"/>
  <c r="Q151" i="3"/>
  <c r="U153" i="3"/>
  <c r="Q153" i="3"/>
  <c r="U155" i="3"/>
  <c r="Q155" i="3"/>
  <c r="U157" i="3"/>
  <c r="Q157" i="3"/>
  <c r="U159" i="3"/>
  <c r="Q159" i="3"/>
  <c r="U161" i="3"/>
  <c r="Q161" i="3"/>
  <c r="U163" i="3"/>
  <c r="Q163" i="3"/>
  <c r="U165" i="3"/>
  <c r="Q165" i="3"/>
  <c r="U167" i="3"/>
  <c r="Q167" i="3"/>
  <c r="U169" i="3"/>
  <c r="Q169" i="3"/>
  <c r="U171" i="3"/>
  <c r="Q171" i="3"/>
  <c r="U173" i="3"/>
  <c r="Q173" i="3"/>
  <c r="U175" i="3"/>
  <c r="Q175" i="3"/>
  <c r="Q2" i="3"/>
  <c r="Q3" i="3"/>
  <c r="Q4" i="3"/>
  <c r="Q5" i="3"/>
  <c r="Q6" i="3"/>
  <c r="Q7" i="3"/>
  <c r="Q8" i="3"/>
  <c r="R8" i="3" s="1"/>
  <c r="Q9" i="3"/>
  <c r="R9" i="3" s="1"/>
  <c r="Q10" i="3"/>
  <c r="Q11" i="3"/>
  <c r="Q12" i="3"/>
  <c r="R12" i="3" s="1"/>
  <c r="Q13" i="3"/>
  <c r="R13" i="3" s="1"/>
  <c r="Q14" i="3"/>
  <c r="Q15" i="3"/>
  <c r="Q16" i="3"/>
  <c r="Q17" i="3"/>
  <c r="Q18" i="3"/>
  <c r="R18" i="3" s="1"/>
  <c r="Q19" i="3"/>
  <c r="Q20" i="3"/>
  <c r="Q21" i="3"/>
  <c r="Q22" i="3"/>
  <c r="Q23" i="3"/>
  <c r="R23" i="3" s="1"/>
  <c r="Q24" i="3"/>
  <c r="Q25" i="3"/>
  <c r="R25" i="3" s="1"/>
  <c r="Q26" i="3"/>
  <c r="R26" i="3" s="1"/>
  <c r="Q27" i="3"/>
  <c r="R27" i="3" s="1"/>
  <c r="Q28" i="3"/>
  <c r="Q29" i="3"/>
  <c r="Q30" i="3"/>
  <c r="Q31" i="3"/>
  <c r="Q32" i="3"/>
  <c r="Q33" i="3"/>
  <c r="Q34" i="3"/>
  <c r="Q35" i="3"/>
  <c r="R35" i="3" s="1"/>
  <c r="Q36" i="3"/>
  <c r="R36" i="3" s="1"/>
  <c r="Q37" i="3"/>
  <c r="Q38" i="3"/>
  <c r="R38" i="3" s="1"/>
  <c r="Q39" i="3"/>
  <c r="Q40" i="3"/>
  <c r="R40" i="3" s="1"/>
  <c r="Q41" i="3"/>
  <c r="Q42" i="3"/>
  <c r="Q43" i="3"/>
  <c r="Q44" i="3"/>
  <c r="Q45" i="3"/>
  <c r="Q46" i="3"/>
  <c r="R46" i="3" s="1"/>
  <c r="Q47" i="3"/>
  <c r="Q48" i="3"/>
  <c r="Q49" i="3"/>
  <c r="Q50" i="3"/>
  <c r="Q51" i="3"/>
  <c r="Q52" i="3"/>
  <c r="Q53" i="3"/>
  <c r="R53" i="3" s="1"/>
  <c r="Q54" i="3"/>
  <c r="Q55" i="3"/>
  <c r="Q56" i="3"/>
  <c r="Q57" i="3"/>
  <c r="Q58" i="3"/>
  <c r="Q59" i="3"/>
  <c r="Q60" i="3"/>
  <c r="Q61" i="3"/>
  <c r="Q62" i="3"/>
  <c r="Q63" i="3"/>
  <c r="Q64" i="3"/>
  <c r="Q65" i="3"/>
  <c r="R65" i="3" s="1"/>
  <c r="Q66" i="3"/>
  <c r="Q67" i="3"/>
  <c r="Q68" i="3"/>
  <c r="R68" i="3" s="1"/>
  <c r="Q69" i="3"/>
  <c r="Q70" i="3"/>
  <c r="R70" i="3" s="1"/>
  <c r="Q71" i="3"/>
  <c r="Q72" i="3"/>
  <c r="Q73" i="3"/>
  <c r="Q74" i="3"/>
  <c r="R74" i="3" s="1"/>
  <c r="Q75" i="3"/>
  <c r="Q76" i="3"/>
  <c r="Q77" i="3"/>
  <c r="Q78" i="3"/>
  <c r="Q79" i="3"/>
  <c r="Q80" i="3"/>
  <c r="Q81" i="3"/>
  <c r="Q82" i="3"/>
  <c r="Q83" i="3"/>
  <c r="Q84" i="3"/>
  <c r="R84" i="3" s="1"/>
  <c r="Q85" i="3"/>
  <c r="Q86" i="3"/>
  <c r="Q87" i="3"/>
  <c r="R87" i="3" s="1"/>
  <c r="Q88" i="3"/>
  <c r="R88" i="3" s="1"/>
  <c r="Q89" i="3"/>
  <c r="R89" i="3" s="1"/>
  <c r="Q90" i="3"/>
  <c r="R90" i="3" s="1"/>
  <c r="Q91" i="3"/>
  <c r="Q92" i="3"/>
  <c r="Q93" i="3"/>
  <c r="Q94" i="3"/>
  <c r="Q95" i="3"/>
  <c r="Q96" i="3"/>
  <c r="Q97" i="3"/>
  <c r="R97" i="3" s="1"/>
  <c r="Q98" i="3"/>
  <c r="Q99" i="3"/>
  <c r="R99" i="3" s="1"/>
  <c r="Q100" i="3"/>
  <c r="Q101" i="3"/>
  <c r="R101" i="3" s="1"/>
  <c r="Q102" i="3"/>
  <c r="Q103" i="3"/>
  <c r="Q104" i="3"/>
  <c r="Q105" i="3"/>
  <c r="R105" i="3" s="1"/>
  <c r="Q106" i="3"/>
  <c r="Q107" i="3"/>
  <c r="Q108" i="3"/>
  <c r="R108" i="3" s="1"/>
  <c r="Q109" i="3"/>
  <c r="Q110" i="3"/>
  <c r="Q111" i="3"/>
  <c r="R111" i="3" s="1"/>
  <c r="Q112" i="3"/>
  <c r="R112" i="3" s="1"/>
  <c r="Q113" i="3"/>
  <c r="Q114" i="3"/>
  <c r="Q115" i="3"/>
  <c r="R115" i="3" s="1"/>
  <c r="Q116" i="3"/>
  <c r="Q117" i="3"/>
  <c r="Q118" i="3"/>
  <c r="Q119" i="3"/>
  <c r="Q120" i="3"/>
  <c r="R121" i="3"/>
  <c r="U122" i="3"/>
  <c r="Q122" i="3"/>
  <c r="R123" i="3"/>
  <c r="U124" i="3"/>
  <c r="Q124" i="3"/>
  <c r="R125" i="3"/>
  <c r="U126" i="3"/>
  <c r="Q126" i="3"/>
  <c r="R127" i="3"/>
  <c r="U128" i="3"/>
  <c r="Q128" i="3"/>
  <c r="R128" i="3" s="1"/>
  <c r="R129" i="3"/>
  <c r="U130" i="3"/>
  <c r="Q130" i="3"/>
  <c r="R130" i="3" s="1"/>
  <c r="U132" i="3"/>
  <c r="Q132" i="3"/>
  <c r="R132" i="3" s="1"/>
  <c r="R133" i="3"/>
  <c r="U134" i="3"/>
  <c r="Q134" i="3"/>
  <c r="R134" i="3" s="1"/>
  <c r="R135" i="3"/>
  <c r="U136" i="3"/>
  <c r="Q136" i="3"/>
  <c r="R137" i="3"/>
  <c r="U138" i="3"/>
  <c r="Q138" i="3"/>
  <c r="R139" i="3"/>
  <c r="U140" i="3"/>
  <c r="Q140" i="3"/>
  <c r="R141" i="3"/>
  <c r="U142" i="3"/>
  <c r="Q142" i="3"/>
  <c r="R142" i="3" s="1"/>
  <c r="R143" i="3"/>
  <c r="U144" i="3"/>
  <c r="Q144" i="3"/>
  <c r="R145" i="3"/>
  <c r="U146" i="3"/>
  <c r="Q146" i="3"/>
  <c r="R147" i="3"/>
  <c r="U148" i="3"/>
  <c r="Q148" i="3"/>
  <c r="R148" i="3" s="1"/>
  <c r="R149" i="3"/>
  <c r="U150" i="3"/>
  <c r="Q150" i="3"/>
  <c r="R150" i="3" s="1"/>
  <c r="R151" i="3"/>
  <c r="U152" i="3"/>
  <c r="Q152" i="3"/>
  <c r="R153" i="3"/>
  <c r="U154" i="3"/>
  <c r="Q154" i="3"/>
  <c r="R154" i="3" s="1"/>
  <c r="R155" i="3"/>
  <c r="U156" i="3"/>
  <c r="Q156" i="3"/>
  <c r="R157" i="3"/>
  <c r="U158" i="3"/>
  <c r="Q158" i="3"/>
  <c r="R158" i="3" s="1"/>
  <c r="R159" i="3"/>
  <c r="U160" i="3"/>
  <c r="Q160" i="3"/>
  <c r="R160" i="3" s="1"/>
  <c r="R161" i="3"/>
  <c r="U162" i="3"/>
  <c r="Q162" i="3"/>
  <c r="R163" i="3"/>
  <c r="U164" i="3"/>
  <c r="Q164" i="3"/>
  <c r="R164" i="3" s="1"/>
  <c r="R165" i="3"/>
  <c r="U166" i="3"/>
  <c r="Q166" i="3"/>
  <c r="R167" i="3"/>
  <c r="U168" i="3"/>
  <c r="Q168" i="3"/>
  <c r="R169" i="3"/>
  <c r="U170" i="3"/>
  <c r="Q170" i="3"/>
  <c r="R171" i="3"/>
  <c r="U172" i="3"/>
  <c r="Q172" i="3"/>
  <c r="R172" i="3" s="1"/>
  <c r="R173" i="3"/>
  <c r="U174" i="3"/>
  <c r="Q174" i="3"/>
  <c r="R174" i="3" s="1"/>
  <c r="R175" i="3"/>
  <c r="U220" i="3"/>
  <c r="Q220" i="3"/>
  <c r="R220" i="3" s="1"/>
  <c r="R224" i="3"/>
  <c r="U224" i="3"/>
  <c r="Q224" i="3"/>
  <c r="U228" i="3"/>
  <c r="Q228" i="3"/>
  <c r="R228" i="3" s="1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U197" i="3"/>
  <c r="Q197" i="3"/>
  <c r="U199" i="3"/>
  <c r="Q199" i="3"/>
  <c r="U201" i="3"/>
  <c r="Q201" i="3"/>
  <c r="U203" i="3"/>
  <c r="Q203" i="3"/>
  <c r="U205" i="3"/>
  <c r="Q205" i="3"/>
  <c r="U207" i="3"/>
  <c r="Q207" i="3"/>
  <c r="U209" i="3"/>
  <c r="Q209" i="3"/>
  <c r="U211" i="3"/>
  <c r="Q211" i="3"/>
  <c r="R211" i="3" s="1"/>
  <c r="U213" i="3"/>
  <c r="Q213" i="3"/>
  <c r="U215" i="3"/>
  <c r="Q215" i="3"/>
  <c r="R217" i="3"/>
  <c r="U217" i="3"/>
  <c r="Q217" i="3"/>
  <c r="R221" i="3"/>
  <c r="U221" i="3"/>
  <c r="Q221" i="3"/>
  <c r="U225" i="3"/>
  <c r="Q225" i="3"/>
  <c r="R225" i="3" s="1"/>
  <c r="R229" i="3"/>
  <c r="U229" i="3"/>
  <c r="Q229" i="3"/>
  <c r="R218" i="3"/>
  <c r="U218" i="3"/>
  <c r="Q218" i="3"/>
  <c r="S220" i="3"/>
  <c r="R222" i="3"/>
  <c r="U222" i="3"/>
  <c r="Q222" i="3"/>
  <c r="S224" i="3"/>
  <c r="R226" i="3"/>
  <c r="U226" i="3"/>
  <c r="Q226" i="3"/>
  <c r="S228" i="3"/>
  <c r="R230" i="3"/>
  <c r="U230" i="3"/>
  <c r="Q230" i="3"/>
  <c r="Q176" i="3"/>
  <c r="Q177" i="3"/>
  <c r="R177" i="3" s="1"/>
  <c r="Q178" i="3"/>
  <c r="Q179" i="3"/>
  <c r="R179" i="3" s="1"/>
  <c r="Q180" i="3"/>
  <c r="Q181" i="3"/>
  <c r="Q182" i="3"/>
  <c r="R182" i="3" s="1"/>
  <c r="Q183" i="3"/>
  <c r="Q184" i="3"/>
  <c r="Q185" i="3"/>
  <c r="R185" i="3" s="1"/>
  <c r="Q186" i="3"/>
  <c r="R186" i="3" s="1"/>
  <c r="Q187" i="3"/>
  <c r="Q188" i="3"/>
  <c r="Q189" i="3"/>
  <c r="Q190" i="3"/>
  <c r="R190" i="3" s="1"/>
  <c r="Q191" i="3"/>
  <c r="Q192" i="3"/>
  <c r="R192" i="3" s="1"/>
  <c r="Q193" i="3"/>
  <c r="R193" i="3" s="1"/>
  <c r="Q194" i="3"/>
  <c r="Q195" i="3"/>
  <c r="R195" i="3" s="1"/>
  <c r="Q196" i="3"/>
  <c r="R196" i="3" s="1"/>
  <c r="R197" i="3"/>
  <c r="U198" i="3"/>
  <c r="Q198" i="3"/>
  <c r="R199" i="3"/>
  <c r="U200" i="3"/>
  <c r="Q200" i="3"/>
  <c r="R201" i="3"/>
  <c r="U202" i="3"/>
  <c r="Q202" i="3"/>
  <c r="R202" i="3" s="1"/>
  <c r="R203" i="3"/>
  <c r="U204" i="3"/>
  <c r="Q204" i="3"/>
  <c r="R205" i="3"/>
  <c r="U206" i="3"/>
  <c r="Q206" i="3"/>
  <c r="R207" i="3"/>
  <c r="U208" i="3"/>
  <c r="Q208" i="3"/>
  <c r="R209" i="3"/>
  <c r="U210" i="3"/>
  <c r="Q210" i="3"/>
  <c r="R210" i="3" s="1"/>
  <c r="U212" i="3"/>
  <c r="Q212" i="3"/>
  <c r="R213" i="3"/>
  <c r="U214" i="3"/>
  <c r="Q214" i="3"/>
  <c r="R215" i="3"/>
  <c r="U216" i="3"/>
  <c r="Q216" i="3"/>
  <c r="S217" i="3"/>
  <c r="R219" i="3"/>
  <c r="U219" i="3"/>
  <c r="Q219" i="3"/>
  <c r="S221" i="3"/>
  <c r="U223" i="3"/>
  <c r="Q223" i="3"/>
  <c r="R223" i="3" s="1"/>
  <c r="S225" i="3"/>
  <c r="R227" i="3"/>
  <c r="U227" i="3"/>
  <c r="Q227" i="3"/>
  <c r="S229" i="3"/>
  <c r="Q231" i="3"/>
  <c r="U231" i="3"/>
  <c r="Q232" i="3"/>
  <c r="R232" i="3" s="1"/>
  <c r="S282" i="3"/>
  <c r="S286" i="3"/>
  <c r="S290" i="3"/>
  <c r="S294" i="3"/>
  <c r="S298" i="3"/>
  <c r="S302" i="3"/>
  <c r="S306" i="3"/>
  <c r="S310" i="3"/>
  <c r="S314" i="3"/>
  <c r="R231" i="3"/>
  <c r="S233" i="3"/>
  <c r="S237" i="3"/>
  <c r="S241" i="3"/>
  <c r="S245" i="3"/>
  <c r="S253" i="3"/>
  <c r="S257" i="3"/>
  <c r="S261" i="3"/>
  <c r="S265" i="3"/>
  <c r="S269" i="3"/>
  <c r="S273" i="3"/>
  <c r="S277" i="3"/>
  <c r="S285" i="3"/>
  <c r="S289" i="3"/>
  <c r="S293" i="3"/>
  <c r="S297" i="3"/>
  <c r="S301" i="3"/>
  <c r="S305" i="3"/>
  <c r="S309" i="3"/>
  <c r="S313" i="3"/>
  <c r="S317" i="3"/>
  <c r="S320" i="3"/>
  <c r="U232" i="3"/>
  <c r="S235" i="3"/>
  <c r="S239" i="3"/>
  <c r="S243" i="3"/>
  <c r="S247" i="3"/>
  <c r="S255" i="3"/>
  <c r="S259" i="3"/>
  <c r="S263" i="3"/>
  <c r="S271" i="3"/>
  <c r="S275" i="3"/>
  <c r="S319" i="3"/>
  <c r="U397" i="3"/>
  <c r="Q397" i="3"/>
  <c r="U399" i="3"/>
  <c r="Q399" i="3"/>
  <c r="U401" i="3"/>
  <c r="Q401" i="3"/>
  <c r="U403" i="3"/>
  <c r="Q403" i="3"/>
  <c r="U405" i="3"/>
  <c r="Q405" i="3"/>
  <c r="U407" i="3"/>
  <c r="Q407" i="3"/>
  <c r="U409" i="3"/>
  <c r="Q409" i="3"/>
  <c r="U411" i="3"/>
  <c r="Q411" i="3"/>
  <c r="U413" i="3"/>
  <c r="Q413" i="3"/>
  <c r="U415" i="3"/>
  <c r="Q415" i="3"/>
  <c r="U417" i="3"/>
  <c r="Q417" i="3"/>
  <c r="U419" i="3"/>
  <c r="Q419" i="3"/>
  <c r="U421" i="3"/>
  <c r="Q421" i="3"/>
  <c r="U423" i="3"/>
  <c r="Q423" i="3"/>
  <c r="U425" i="3"/>
  <c r="Q425" i="3"/>
  <c r="U427" i="3"/>
  <c r="Q427" i="3"/>
  <c r="U429" i="3"/>
  <c r="Q429" i="3"/>
  <c r="U431" i="3"/>
  <c r="Q431" i="3"/>
  <c r="U433" i="3"/>
  <c r="Q433" i="3"/>
  <c r="U526" i="3"/>
  <c r="Q526" i="3"/>
  <c r="S526" i="3"/>
  <c r="U542" i="3"/>
  <c r="Q542" i="3"/>
  <c r="S542" i="3"/>
  <c r="U558" i="3"/>
  <c r="Q558" i="3"/>
  <c r="S558" i="3"/>
  <c r="U396" i="3"/>
  <c r="Q396" i="3"/>
  <c r="U398" i="3"/>
  <c r="Q398" i="3"/>
  <c r="U400" i="3"/>
  <c r="Q400" i="3"/>
  <c r="U402" i="3"/>
  <c r="Q402" i="3"/>
  <c r="U404" i="3"/>
  <c r="Q404" i="3"/>
  <c r="U406" i="3"/>
  <c r="Q406" i="3"/>
  <c r="U408" i="3"/>
  <c r="Q408" i="3"/>
  <c r="U410" i="3"/>
  <c r="Q410" i="3"/>
  <c r="U412" i="3"/>
  <c r="Q412" i="3"/>
  <c r="U414" i="3"/>
  <c r="Q414" i="3"/>
  <c r="U416" i="3"/>
  <c r="Q416" i="3"/>
  <c r="U418" i="3"/>
  <c r="Q418" i="3"/>
  <c r="U420" i="3"/>
  <c r="Q420" i="3"/>
  <c r="U422" i="3"/>
  <c r="Q422" i="3"/>
  <c r="U424" i="3"/>
  <c r="Q424" i="3"/>
  <c r="U426" i="3"/>
  <c r="Q426" i="3"/>
  <c r="U428" i="3"/>
  <c r="Q428" i="3"/>
  <c r="U430" i="3"/>
  <c r="Q430" i="3"/>
  <c r="U432" i="3"/>
  <c r="Q432" i="3"/>
  <c r="U434" i="3"/>
  <c r="Q434" i="3"/>
  <c r="S397" i="3"/>
  <c r="S399" i="3"/>
  <c r="S401" i="3"/>
  <c r="S403" i="3"/>
  <c r="S405" i="3"/>
  <c r="S407" i="3"/>
  <c r="S409" i="3"/>
  <c r="S411" i="3"/>
  <c r="S413" i="3"/>
  <c r="S415" i="3"/>
  <c r="S417" i="3"/>
  <c r="S419" i="3"/>
  <c r="S421" i="3"/>
  <c r="S423" i="3"/>
  <c r="S425" i="3"/>
  <c r="S427" i="3"/>
  <c r="S429" i="3"/>
  <c r="S431" i="3"/>
  <c r="S433" i="3"/>
  <c r="U518" i="3"/>
  <c r="Q518" i="3"/>
  <c r="S518" i="3"/>
  <c r="U534" i="3"/>
  <c r="Q534" i="3"/>
  <c r="S534" i="3"/>
  <c r="U550" i="3"/>
  <c r="Q550" i="3"/>
  <c r="S550" i="3"/>
  <c r="Q435" i="3"/>
  <c r="U435" i="3"/>
  <c r="Q436" i="3"/>
  <c r="U436" i="3"/>
  <c r="Q437" i="3"/>
  <c r="U437" i="3"/>
  <c r="Q438" i="3"/>
  <c r="U438" i="3"/>
  <c r="Q439" i="3"/>
  <c r="U439" i="3"/>
  <c r="Q440" i="3"/>
  <c r="U440" i="3"/>
  <c r="Q441" i="3"/>
  <c r="U441" i="3"/>
  <c r="Q442" i="3"/>
  <c r="U442" i="3"/>
  <c r="Q443" i="3"/>
  <c r="U443" i="3"/>
  <c r="Q444" i="3"/>
  <c r="U444" i="3"/>
  <c r="Q445" i="3"/>
  <c r="U445" i="3"/>
  <c r="Q446" i="3"/>
  <c r="U446" i="3"/>
  <c r="Q447" i="3"/>
  <c r="U447" i="3"/>
  <c r="Q448" i="3"/>
  <c r="U448" i="3"/>
  <c r="Q449" i="3"/>
  <c r="U449" i="3"/>
  <c r="Q450" i="3"/>
  <c r="U450" i="3"/>
  <c r="Q451" i="3"/>
  <c r="U451" i="3"/>
  <c r="Q452" i="3"/>
  <c r="U452" i="3"/>
  <c r="Q453" i="3"/>
  <c r="U453" i="3"/>
  <c r="Q454" i="3"/>
  <c r="U454" i="3"/>
  <c r="Q455" i="3"/>
  <c r="U455" i="3"/>
  <c r="Q456" i="3"/>
  <c r="U456" i="3"/>
  <c r="Q457" i="3"/>
  <c r="U457" i="3"/>
  <c r="Q458" i="3"/>
  <c r="U458" i="3"/>
  <c r="Q459" i="3"/>
  <c r="U459" i="3"/>
  <c r="Q460" i="3"/>
  <c r="U460" i="3"/>
  <c r="Q461" i="3"/>
  <c r="U461" i="3"/>
  <c r="Q462" i="3"/>
  <c r="U462" i="3"/>
  <c r="Q463" i="3"/>
  <c r="U463" i="3"/>
  <c r="Q464" i="3"/>
  <c r="U464" i="3"/>
  <c r="Q465" i="3"/>
  <c r="U465" i="3"/>
  <c r="Q466" i="3"/>
  <c r="U466" i="3"/>
  <c r="Q467" i="3"/>
  <c r="U467" i="3"/>
  <c r="Q468" i="3"/>
  <c r="U468" i="3"/>
  <c r="Q469" i="3"/>
  <c r="U469" i="3"/>
  <c r="Q470" i="3"/>
  <c r="U470" i="3"/>
  <c r="Q471" i="3"/>
  <c r="U471" i="3"/>
  <c r="Q472" i="3"/>
  <c r="U472" i="3"/>
  <c r="Q473" i="3"/>
  <c r="U473" i="3"/>
  <c r="Q474" i="3"/>
  <c r="U474" i="3"/>
  <c r="Q475" i="3"/>
  <c r="U475" i="3"/>
  <c r="Q476" i="3"/>
  <c r="U476" i="3"/>
  <c r="U478" i="3"/>
  <c r="Q478" i="3"/>
  <c r="U480" i="3"/>
  <c r="Q480" i="3"/>
  <c r="U482" i="3"/>
  <c r="Q482" i="3"/>
  <c r="U484" i="3"/>
  <c r="Q484" i="3"/>
  <c r="U486" i="3"/>
  <c r="Q486" i="3"/>
  <c r="U488" i="3"/>
  <c r="Q488" i="3"/>
  <c r="U490" i="3"/>
  <c r="Q490" i="3"/>
  <c r="U492" i="3"/>
  <c r="Q492" i="3"/>
  <c r="U494" i="3"/>
  <c r="Q494" i="3"/>
  <c r="U496" i="3"/>
  <c r="Q496" i="3"/>
  <c r="U498" i="3"/>
  <c r="Q498" i="3"/>
  <c r="U500" i="3"/>
  <c r="Q500" i="3"/>
  <c r="U502" i="3"/>
  <c r="Q502" i="3"/>
  <c r="U504" i="3"/>
  <c r="Q504" i="3"/>
  <c r="U506" i="3"/>
  <c r="Q506" i="3"/>
  <c r="U508" i="3"/>
  <c r="Q508" i="3"/>
  <c r="U510" i="3"/>
  <c r="Q510" i="3"/>
  <c r="U512" i="3"/>
  <c r="Q512" i="3"/>
  <c r="U514" i="3"/>
  <c r="Q514" i="3"/>
  <c r="U516" i="3"/>
  <c r="Q516" i="3"/>
  <c r="U524" i="3"/>
  <c r="Q524" i="3"/>
  <c r="U532" i="3"/>
  <c r="Q532" i="3"/>
  <c r="U540" i="3"/>
  <c r="Q540" i="3"/>
  <c r="U548" i="3"/>
  <c r="Q548" i="3"/>
  <c r="U556" i="3"/>
  <c r="Q556" i="3"/>
  <c r="U522" i="3"/>
  <c r="Q522" i="3"/>
  <c r="U530" i="3"/>
  <c r="Q530" i="3"/>
  <c r="U538" i="3"/>
  <c r="Q538" i="3"/>
  <c r="U546" i="3"/>
  <c r="Q546" i="3"/>
  <c r="U554" i="3"/>
  <c r="Q554" i="3"/>
  <c r="U477" i="3"/>
  <c r="Q477" i="3"/>
  <c r="U479" i="3"/>
  <c r="Q479" i="3"/>
  <c r="U481" i="3"/>
  <c r="Q481" i="3"/>
  <c r="U483" i="3"/>
  <c r="Q483" i="3"/>
  <c r="U485" i="3"/>
  <c r="Q485" i="3"/>
  <c r="U487" i="3"/>
  <c r="Q487" i="3"/>
  <c r="U489" i="3"/>
  <c r="Q489" i="3"/>
  <c r="U491" i="3"/>
  <c r="Q491" i="3"/>
  <c r="U493" i="3"/>
  <c r="Q493" i="3"/>
  <c r="U495" i="3"/>
  <c r="Q495" i="3"/>
  <c r="U497" i="3"/>
  <c r="Q497" i="3"/>
  <c r="U499" i="3"/>
  <c r="Q499" i="3"/>
  <c r="U501" i="3"/>
  <c r="Q501" i="3"/>
  <c r="U503" i="3"/>
  <c r="Q503" i="3"/>
  <c r="U505" i="3"/>
  <c r="Q505" i="3"/>
  <c r="U507" i="3"/>
  <c r="Q507" i="3"/>
  <c r="U509" i="3"/>
  <c r="Q509" i="3"/>
  <c r="U511" i="3"/>
  <c r="Q511" i="3"/>
  <c r="U513" i="3"/>
  <c r="Q513" i="3"/>
  <c r="U515" i="3"/>
  <c r="Q515" i="3"/>
  <c r="U520" i="3"/>
  <c r="Q520" i="3"/>
  <c r="U528" i="3"/>
  <c r="Q528" i="3"/>
  <c r="U536" i="3"/>
  <c r="Q536" i="3"/>
  <c r="U544" i="3"/>
  <c r="Q544" i="3"/>
  <c r="U552" i="3"/>
  <c r="Q552" i="3"/>
  <c r="U517" i="3"/>
  <c r="Q517" i="3"/>
  <c r="U519" i="3"/>
  <c r="Q519" i="3"/>
  <c r="U521" i="3"/>
  <c r="Q521" i="3"/>
  <c r="U523" i="3"/>
  <c r="Q523" i="3"/>
  <c r="U525" i="3"/>
  <c r="Q525" i="3"/>
  <c r="U527" i="3"/>
  <c r="Q527" i="3"/>
  <c r="U529" i="3"/>
  <c r="Q529" i="3"/>
  <c r="U531" i="3"/>
  <c r="Q531" i="3"/>
  <c r="U533" i="3"/>
  <c r="Q533" i="3"/>
  <c r="U535" i="3"/>
  <c r="Q535" i="3"/>
  <c r="U537" i="3"/>
  <c r="Q537" i="3"/>
  <c r="U539" i="3"/>
  <c r="Q539" i="3"/>
  <c r="U541" i="3"/>
  <c r="Q541" i="3"/>
  <c r="U543" i="3"/>
  <c r="Q543" i="3"/>
  <c r="U545" i="3"/>
  <c r="Q545" i="3"/>
  <c r="U547" i="3"/>
  <c r="Q547" i="3"/>
  <c r="U549" i="3"/>
  <c r="Q549" i="3"/>
  <c r="U551" i="3"/>
  <c r="Q551" i="3"/>
  <c r="U553" i="3"/>
  <c r="Q553" i="3"/>
  <c r="U555" i="3"/>
  <c r="Q555" i="3"/>
  <c r="U557" i="3"/>
  <c r="Q557" i="3"/>
  <c r="U560" i="3"/>
  <c r="Q560" i="3"/>
  <c r="U562" i="3"/>
  <c r="Q562" i="3"/>
  <c r="U564" i="3"/>
  <c r="Q564" i="3"/>
  <c r="U566" i="3"/>
  <c r="Q566" i="3"/>
  <c r="U568" i="3"/>
  <c r="Q568" i="3"/>
  <c r="U570" i="3"/>
  <c r="Q570" i="3"/>
  <c r="U572" i="3"/>
  <c r="Q572" i="3"/>
  <c r="U574" i="3"/>
  <c r="Q574" i="3"/>
  <c r="U576" i="3"/>
  <c r="Q576" i="3"/>
  <c r="U578" i="3"/>
  <c r="Q578" i="3"/>
  <c r="U580" i="3"/>
  <c r="Q580" i="3"/>
  <c r="U582" i="3"/>
  <c r="Q582" i="3"/>
  <c r="U584" i="3"/>
  <c r="Q584" i="3"/>
  <c r="U586" i="3"/>
  <c r="Q586" i="3"/>
  <c r="U588" i="3"/>
  <c r="Q588" i="3"/>
  <c r="U590" i="3"/>
  <c r="Q590" i="3"/>
  <c r="U592" i="3"/>
  <c r="Q592" i="3"/>
  <c r="U594" i="3"/>
  <c r="Q594" i="3"/>
  <c r="U596" i="3"/>
  <c r="Q596" i="3"/>
  <c r="U598" i="3"/>
  <c r="Q598" i="3"/>
  <c r="U559" i="3"/>
  <c r="Q559" i="3"/>
  <c r="U561" i="3"/>
  <c r="Q561" i="3"/>
  <c r="U563" i="3"/>
  <c r="Q563" i="3"/>
  <c r="U565" i="3"/>
  <c r="Q565" i="3"/>
  <c r="U567" i="3"/>
  <c r="Q567" i="3"/>
  <c r="U569" i="3"/>
  <c r="Q569" i="3"/>
  <c r="U571" i="3"/>
  <c r="Q571" i="3"/>
  <c r="U573" i="3"/>
  <c r="Q573" i="3"/>
  <c r="U575" i="3"/>
  <c r="Q575" i="3"/>
  <c r="U577" i="3"/>
  <c r="Q577" i="3"/>
  <c r="U579" i="3"/>
  <c r="Q579" i="3"/>
  <c r="U581" i="3"/>
  <c r="Q581" i="3"/>
  <c r="U583" i="3"/>
  <c r="Q583" i="3"/>
  <c r="U585" i="3"/>
  <c r="Q585" i="3"/>
  <c r="U587" i="3"/>
  <c r="Q587" i="3"/>
  <c r="U589" i="3"/>
  <c r="Q589" i="3"/>
  <c r="U591" i="3"/>
  <c r="Q591" i="3"/>
  <c r="U593" i="3"/>
  <c r="Q593" i="3"/>
  <c r="U595" i="3"/>
  <c r="Q595" i="3"/>
  <c r="U597" i="3"/>
  <c r="Q597" i="3"/>
  <c r="U599" i="3"/>
  <c r="Q599" i="3"/>
  <c r="S600" i="3"/>
  <c r="Q600" i="3"/>
  <c r="D54" i="2" l="1"/>
  <c r="B96" i="2"/>
  <c r="C96" i="2" s="1"/>
  <c r="I96" i="2" s="1"/>
  <c r="M64" i="1" s="1"/>
  <c r="D57" i="2"/>
  <c r="C69" i="2"/>
  <c r="B9" i="2"/>
  <c r="N6" i="1" s="1"/>
  <c r="C46" i="2"/>
  <c r="B43" i="2"/>
  <c r="L81" i="2"/>
  <c r="P50" i="1" s="1"/>
  <c r="G96" i="2"/>
  <c r="I64" i="1" s="1"/>
  <c r="E96" i="2"/>
  <c r="D64" i="1" s="1"/>
  <c r="L76" i="2"/>
  <c r="P45" i="1" s="1"/>
  <c r="B15" i="2"/>
  <c r="L77" i="2"/>
  <c r="P46" i="1" s="1"/>
  <c r="K78" i="2"/>
  <c r="O47" i="1" s="1"/>
  <c r="L78" i="2"/>
  <c r="P47" i="1" s="1"/>
  <c r="J78" i="2"/>
  <c r="N47" i="1" s="1"/>
  <c r="B13" i="2"/>
  <c r="K9" i="1" s="1"/>
  <c r="D53" i="2"/>
  <c r="B46" i="2"/>
  <c r="C70" i="2"/>
  <c r="L79" i="2"/>
  <c r="P48" i="1" s="1"/>
  <c r="J79" i="2"/>
  <c r="N48" i="1" s="1"/>
  <c r="K79" i="2"/>
  <c r="O48" i="1" s="1"/>
  <c r="B91" i="2"/>
  <c r="C91" i="2" s="1"/>
  <c r="I91" i="2" s="1"/>
  <c r="B90" i="2"/>
  <c r="C90" i="2" s="1"/>
  <c r="I90" i="2" s="1"/>
  <c r="B98" i="2"/>
  <c r="C98" i="2" s="1"/>
  <c r="I98" i="2" s="1"/>
  <c r="K76" i="2"/>
  <c r="J76" i="2"/>
  <c r="B93" i="2"/>
  <c r="C93" i="2" s="1"/>
  <c r="I93" i="2" s="1"/>
  <c r="B92" i="2"/>
  <c r="C92" i="2" s="1"/>
  <c r="I92" i="2" s="1"/>
  <c r="F83" i="2"/>
  <c r="H52" i="1" s="1"/>
  <c r="J81" i="2"/>
  <c r="N50" i="1" s="1"/>
  <c r="K81" i="2"/>
  <c r="O50" i="1" s="1"/>
  <c r="J77" i="2"/>
  <c r="N46" i="1" s="1"/>
  <c r="K77" i="2"/>
  <c r="O46" i="1" s="1"/>
  <c r="B14" i="2"/>
  <c r="K80" i="2"/>
  <c r="O49" i="1" s="1"/>
  <c r="J80" i="2"/>
  <c r="N49" i="1" s="1"/>
  <c r="L80" i="2"/>
  <c r="P49" i="1" s="1"/>
  <c r="B95" i="2"/>
  <c r="C95" i="2" s="1"/>
  <c r="I95" i="2" s="1"/>
  <c r="B94" i="2"/>
  <c r="C94" i="2" s="1"/>
  <c r="I94" i="2" s="1"/>
  <c r="C65" i="2"/>
  <c r="C43" i="2"/>
  <c r="D58" i="2"/>
  <c r="L83" i="2"/>
  <c r="P52" i="1" s="1"/>
  <c r="C68" i="2"/>
  <c r="C42" i="2"/>
  <c r="C44" i="2"/>
  <c r="B42" i="2"/>
  <c r="B45" i="2"/>
  <c r="B89" i="2"/>
  <c r="C89" i="2" s="1"/>
  <c r="B97" i="2"/>
  <c r="C97" i="2" s="1"/>
  <c r="I97" i="2" s="1"/>
  <c r="B44" i="2"/>
  <c r="B16" i="2"/>
  <c r="C67" i="2"/>
  <c r="C45" i="2"/>
  <c r="A34" i="2"/>
  <c r="B33" i="2"/>
  <c r="D33" i="2"/>
  <c r="C33" i="2"/>
  <c r="C66" i="2"/>
  <c r="K96" i="2" l="1"/>
  <c r="P64" i="1" s="1"/>
  <c r="D96" i="2"/>
  <c r="C64" i="1" s="1"/>
  <c r="F96" i="2"/>
  <c r="G64" i="1" s="1"/>
  <c r="H96" i="2"/>
  <c r="K64" i="1" s="1"/>
  <c r="J96" i="2"/>
  <c r="N64" i="1" s="1"/>
  <c r="C34" i="2"/>
  <c r="A35" i="2"/>
  <c r="B34" i="2"/>
  <c r="E34" i="2"/>
  <c r="D34" i="2"/>
  <c r="K94" i="2"/>
  <c r="P62" i="1" s="1"/>
  <c r="G94" i="2"/>
  <c r="I62" i="1" s="1"/>
  <c r="J94" i="2"/>
  <c r="N62" i="1" s="1"/>
  <c r="F94" i="2"/>
  <c r="G62" i="1" s="1"/>
  <c r="M62" i="1"/>
  <c r="E94" i="2"/>
  <c r="D62" i="1" s="1"/>
  <c r="H94" i="2"/>
  <c r="K62" i="1" s="1"/>
  <c r="D94" i="2"/>
  <c r="C62" i="1" s="1"/>
  <c r="M61" i="1"/>
  <c r="E93" i="2"/>
  <c r="D61" i="1" s="1"/>
  <c r="H93" i="2"/>
  <c r="K61" i="1" s="1"/>
  <c r="D93" i="2"/>
  <c r="C61" i="1" s="1"/>
  <c r="K93" i="2"/>
  <c r="P61" i="1" s="1"/>
  <c r="G93" i="2"/>
  <c r="I61" i="1" s="1"/>
  <c r="J93" i="2"/>
  <c r="N61" i="1" s="1"/>
  <c r="F93" i="2"/>
  <c r="G61" i="1" s="1"/>
  <c r="K90" i="2"/>
  <c r="P58" i="1" s="1"/>
  <c r="G90" i="2"/>
  <c r="I58" i="1" s="1"/>
  <c r="J90" i="2"/>
  <c r="N58" i="1" s="1"/>
  <c r="F90" i="2"/>
  <c r="G58" i="1" s="1"/>
  <c r="M58" i="1"/>
  <c r="E90" i="2"/>
  <c r="D58" i="1" s="1"/>
  <c r="H90" i="2"/>
  <c r="K58" i="1" s="1"/>
  <c r="D90" i="2"/>
  <c r="C58" i="1" s="1"/>
  <c r="M65" i="1"/>
  <c r="E97" i="2"/>
  <c r="D65" i="1" s="1"/>
  <c r="H97" i="2"/>
  <c r="K65" i="1" s="1"/>
  <c r="D97" i="2"/>
  <c r="C65" i="1" s="1"/>
  <c r="K97" i="2"/>
  <c r="P65" i="1" s="1"/>
  <c r="G97" i="2"/>
  <c r="I65" i="1" s="1"/>
  <c r="J97" i="2"/>
  <c r="N65" i="1" s="1"/>
  <c r="F97" i="2"/>
  <c r="G65" i="1" s="1"/>
  <c r="M63" i="1"/>
  <c r="E95" i="2"/>
  <c r="D63" i="1" s="1"/>
  <c r="H95" i="2"/>
  <c r="K63" i="1" s="1"/>
  <c r="D95" i="2"/>
  <c r="C63" i="1" s="1"/>
  <c r="K95" i="2"/>
  <c r="P63" i="1" s="1"/>
  <c r="G95" i="2"/>
  <c r="I63" i="1" s="1"/>
  <c r="J95" i="2"/>
  <c r="N63" i="1" s="1"/>
  <c r="F95" i="2"/>
  <c r="G63" i="1" s="1"/>
  <c r="B17" i="2"/>
  <c r="N9" i="1" s="1"/>
  <c r="J83" i="2"/>
  <c r="N52" i="1" s="1"/>
  <c r="N45" i="1"/>
  <c r="M59" i="1"/>
  <c r="E91" i="2"/>
  <c r="D59" i="1" s="1"/>
  <c r="H91" i="2"/>
  <c r="K59" i="1" s="1"/>
  <c r="D91" i="2"/>
  <c r="C59" i="1" s="1"/>
  <c r="K91" i="2"/>
  <c r="P59" i="1" s="1"/>
  <c r="G91" i="2"/>
  <c r="I59" i="1" s="1"/>
  <c r="J91" i="2"/>
  <c r="N59" i="1" s="1"/>
  <c r="F91" i="2"/>
  <c r="G59" i="1" s="1"/>
  <c r="K83" i="2"/>
  <c r="O52" i="1" s="1"/>
  <c r="O45" i="1"/>
  <c r="I89" i="2"/>
  <c r="M57" i="1" s="1"/>
  <c r="E89" i="2"/>
  <c r="D57" i="1" s="1"/>
  <c r="H89" i="2"/>
  <c r="K57" i="1" s="1"/>
  <c r="D89" i="2"/>
  <c r="C57" i="1" s="1"/>
  <c r="K89" i="2"/>
  <c r="P57" i="1" s="1"/>
  <c r="G89" i="2"/>
  <c r="I57" i="1" s="1"/>
  <c r="J89" i="2"/>
  <c r="N57" i="1" s="1"/>
  <c r="F89" i="2"/>
  <c r="G57" i="1" s="1"/>
  <c r="K92" i="2"/>
  <c r="P60" i="1" s="1"/>
  <c r="G92" i="2"/>
  <c r="I60" i="1" s="1"/>
  <c r="J92" i="2"/>
  <c r="N60" i="1" s="1"/>
  <c r="F92" i="2"/>
  <c r="G60" i="1" s="1"/>
  <c r="M60" i="1"/>
  <c r="E92" i="2"/>
  <c r="D60" i="1" s="1"/>
  <c r="H92" i="2"/>
  <c r="K60" i="1" s="1"/>
  <c r="D92" i="2"/>
  <c r="C60" i="1" s="1"/>
  <c r="K98" i="2"/>
  <c r="P66" i="1" s="1"/>
  <c r="G98" i="2"/>
  <c r="I66" i="1" s="1"/>
  <c r="J98" i="2"/>
  <c r="N66" i="1" s="1"/>
  <c r="F98" i="2"/>
  <c r="G66" i="1" s="1"/>
  <c r="M66" i="1"/>
  <c r="E98" i="2"/>
  <c r="D66" i="1" s="1"/>
  <c r="H98" i="2"/>
  <c r="K66" i="1" s="1"/>
  <c r="D98" i="2"/>
  <c r="C66" i="1" s="1"/>
  <c r="A36" i="2" l="1"/>
  <c r="B35" i="2"/>
  <c r="E35" i="2"/>
  <c r="D35" i="2"/>
  <c r="C35" i="2"/>
  <c r="B36" i="2" l="1"/>
  <c r="C36" i="2"/>
  <c r="E36" i="2"/>
  <c r="D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N1" authorId="0" shapeId="0" xr:uid="{00000000-0006-0000-0200-000001000000}">
      <text>
        <r>
          <rPr>
            <sz val="10"/>
            <rFont val="Arial"/>
            <family val="2"/>
          </rPr>
          <t>Grey-green headers = formula columns (do not overtype). Pre-filled to row 600, so new leads typed in A:M calculate automatically.</t>
        </r>
      </text>
    </comment>
  </commentList>
</comments>
</file>

<file path=xl/sharedStrings.xml><?xml version="1.0" encoding="utf-8"?>
<sst xmlns="http://schemas.openxmlformats.org/spreadsheetml/2006/main" count="2211" uniqueCount="559">
  <si>
    <t>LEAD MANAGEMENT &amp; SALES PIPELINE DASHBOARD</t>
  </si>
  <si>
    <t>Sales Executive:</t>
  </si>
  <si>
    <t>All</t>
  </si>
  <si>
    <t>&lt;- pick an executive from the drop-down; KPIs, charts and Top 10 update (scorecard always shows everyone)</t>
  </si>
  <si>
    <t>Total Leads</t>
  </si>
  <si>
    <t>Won Deals</t>
  </si>
  <si>
    <t>Lost Leads</t>
  </si>
  <si>
    <t>Open Leads</t>
  </si>
  <si>
    <t>Conversion Rate</t>
  </si>
  <si>
    <t>Open Pipeline (AED)</t>
  </si>
  <si>
    <t>Won Value (AED)</t>
  </si>
  <si>
    <t>Avg Response (hrs)</t>
  </si>
  <si>
    <t>Follow-up Compliance</t>
  </si>
  <si>
    <t>Needs Attention</t>
  </si>
  <si>
    <t>SALES EXECUTIVE SCORECARD</t>
  </si>
  <si>
    <t>Executive</t>
  </si>
  <si>
    <t>Leads</t>
  </si>
  <si>
    <t>Won</t>
  </si>
  <si>
    <t>Lost</t>
  </si>
  <si>
    <t>Open</t>
  </si>
  <si>
    <t>Conv %</t>
  </si>
  <si>
    <t>Pipeline (AED)</t>
  </si>
  <si>
    <t>Avg Resp (hrs)</t>
  </si>
  <si>
    <t>Overdue</t>
  </si>
  <si>
    <t>Inactive</t>
  </si>
  <si>
    <t>Compliance</t>
  </si>
  <si>
    <t>TOP 10 HIGH-VALUE OPEN LEADS  (follow the Executive filter)</t>
  </si>
  <si>
    <t>Rank</t>
  </si>
  <si>
    <t>Lead ID</t>
  </si>
  <si>
    <t>Customer</t>
  </si>
  <si>
    <t>Stage</t>
  </si>
  <si>
    <t>Value (AED)</t>
  </si>
  <si>
    <t>Days Since Contact</t>
  </si>
  <si>
    <t>Follow-up Status</t>
  </si>
  <si>
    <t>Source</t>
  </si>
  <si>
    <t>Definitions: Conversion = Won / Total leads | Compliance = On-Track open leads / Open leads | Overdue = next follow-up date passed | Inactive = no contact for the threshold in Settings | Needs Attention = Overdue + Inactive + Unassigned.</t>
  </si>
  <si>
    <t>Executive filter criterion</t>
  </si>
  <si>
    <t>KPIs (follow the Executive filter)</t>
  </si>
  <si>
    <t>Open Pipeline Value (AED)</t>
  </si>
  <si>
    <t>Avg Response Time (hrs)</t>
  </si>
  <si>
    <t>Overdue Follow-ups</t>
  </si>
  <si>
    <t>Inactive Leads</t>
  </si>
  <si>
    <t>Unassigned Leads</t>
  </si>
  <si>
    <t>Needs Attention (Overdue+Inactive+Unassigned)</t>
  </si>
  <si>
    <t>Pipeline by Stage</t>
  </si>
  <si>
    <t>New</t>
  </si>
  <si>
    <t>Contacted</t>
  </si>
  <si>
    <t>Quotation Sent</t>
  </si>
  <si>
    <t>Negotiation</t>
  </si>
  <si>
    <t>Monthly Lead Trend</t>
  </si>
  <si>
    <t>Month</t>
  </si>
  <si>
    <t>Label</t>
  </si>
  <si>
    <t>Leads Received</t>
  </si>
  <si>
    <t>Open Lead Ageing</t>
  </si>
  <si>
    <t>Bucket</t>
  </si>
  <si>
    <t>0-7 days</t>
  </si>
  <si>
    <t>8-15 days</t>
  </si>
  <si>
    <t>16-30 days</t>
  </si>
  <si>
    <t>31-60 days</t>
  </si>
  <si>
    <t>60+ days</t>
  </si>
  <si>
    <t>Lead Source Performance</t>
  </si>
  <si>
    <t>Conversion %</t>
  </si>
  <si>
    <t>Website</t>
  </si>
  <si>
    <t>WhatsApp</t>
  </si>
  <si>
    <t>Phone Call</t>
  </si>
  <si>
    <t>Walk-in</t>
  </si>
  <si>
    <t>Referral</t>
  </si>
  <si>
    <t>Exhibition</t>
  </si>
  <si>
    <t>LinkedIn</t>
  </si>
  <si>
    <t>Email</t>
  </si>
  <si>
    <t>Lost Lead Reasons</t>
  </si>
  <si>
    <t>Reason</t>
  </si>
  <si>
    <t>% of Lost</t>
  </si>
  <si>
    <t>Price too high</t>
  </si>
  <si>
    <t>Competitor won</t>
  </si>
  <si>
    <t>No response</t>
  </si>
  <si>
    <t>Requirement cancelled</t>
  </si>
  <si>
    <t>Delivery time</t>
  </si>
  <si>
    <t>Out of stock</t>
  </si>
  <si>
    <t>Sales Executive Scorecard (all executives)</t>
  </si>
  <si>
    <t>Rahul Menon</t>
  </si>
  <si>
    <t>Fatima Khan</t>
  </si>
  <si>
    <t>Omar Siddiqui</t>
  </si>
  <si>
    <t>Priya Nair</t>
  </si>
  <si>
    <t>Ahmed Hassan</t>
  </si>
  <si>
    <t>Sara Thomas</t>
  </si>
  <si>
    <t>Unassigned</t>
  </si>
  <si>
    <t>Total</t>
  </si>
  <si>
    <t>Top 10 High-Value Open Leads (follow the Executive filter)</t>
  </si>
  <si>
    <t>Score</t>
  </si>
  <si>
    <t>Row #</t>
  </si>
  <si>
    <t>Date Received</t>
  </si>
  <si>
    <t>Lead Source</t>
  </si>
  <si>
    <t>Requirement</t>
  </si>
  <si>
    <t>Assigned Executive</t>
  </si>
  <si>
    <t>Status</t>
  </si>
  <si>
    <t>Lead Value (AED)</t>
  </si>
  <si>
    <t>First Response</t>
  </si>
  <si>
    <t>Last Follow-up</t>
  </si>
  <si>
    <t>Next Follow-up</t>
  </si>
  <si>
    <t>Closure Date</t>
  </si>
  <si>
    <t>Lost Reason</t>
  </si>
  <si>
    <t>Response Time (hrs)</t>
  </si>
  <si>
    <t>Open / Closed</t>
  </si>
  <si>
    <t>Lead Age (days)</t>
  </si>
  <si>
    <t>Days Since Last Contact</t>
  </si>
  <si>
    <t>Ageing Bucket</t>
  </si>
  <si>
    <t>Priority Score</t>
  </si>
  <si>
    <t>L-0001</t>
  </si>
  <si>
    <t>Oasis Construction</t>
  </si>
  <si>
    <t>Electrical Items</t>
  </si>
  <si>
    <t>L-0002</t>
  </si>
  <si>
    <t>Sahara Construction</t>
  </si>
  <si>
    <t>Office Supplies</t>
  </si>
  <si>
    <t>L-0003</t>
  </si>
  <si>
    <t>Apex Projects LLC</t>
  </si>
  <si>
    <t>Industrial Supplies</t>
  </si>
  <si>
    <t>L-0004</t>
  </si>
  <si>
    <t>Union Engineering</t>
  </si>
  <si>
    <t>L-0005</t>
  </si>
  <si>
    <t>Prime Facility Mgmt</t>
  </si>
  <si>
    <t>L-0006</t>
  </si>
  <si>
    <t>Oasis Projects LLC</t>
  </si>
  <si>
    <t>Plumbing &amp; Sanitary</t>
  </si>
  <si>
    <t>L-0007</t>
  </si>
  <si>
    <t>Union Trading LLC</t>
  </si>
  <si>
    <t>L-0008</t>
  </si>
  <si>
    <t>Emirates Technical Services</t>
  </si>
  <si>
    <t>L-0009</t>
  </si>
  <si>
    <t>Falcon Industries</t>
  </si>
  <si>
    <t>L-0010</t>
  </si>
  <si>
    <t>Horizon Construction</t>
  </si>
  <si>
    <t>L-0011</t>
  </si>
  <si>
    <t>Emirates Industries</t>
  </si>
  <si>
    <t>L-0012</t>
  </si>
  <si>
    <t>Gulf Projects LLC</t>
  </si>
  <si>
    <t>L-0013</t>
  </si>
  <si>
    <t>Horizon Technical Services</t>
  </si>
  <si>
    <t>Building Materials</t>
  </si>
  <si>
    <t>L-0014</t>
  </si>
  <si>
    <t>Metro Engineering</t>
  </si>
  <si>
    <t>L-0015</t>
  </si>
  <si>
    <t>Prime Trading LLC</t>
  </si>
  <si>
    <t>L-0016</t>
  </si>
  <si>
    <t>Pearl Technical Services</t>
  </si>
  <si>
    <t>L-0017</t>
  </si>
  <si>
    <t>Skyline Construction</t>
  </si>
  <si>
    <t>Safety Equipment</t>
  </si>
  <si>
    <t>L-0018</t>
  </si>
  <si>
    <t>Desert Projects LLC</t>
  </si>
  <si>
    <t>L-0019</t>
  </si>
  <si>
    <t>Gulf Trading LLC</t>
  </si>
  <si>
    <t>L-0020</t>
  </si>
  <si>
    <t>Metro Facility Mgmt</t>
  </si>
  <si>
    <t>L-0021</t>
  </si>
  <si>
    <t>Emirates Trading LLC</t>
  </si>
  <si>
    <t>L-0022</t>
  </si>
  <si>
    <t>Prime Technical Services</t>
  </si>
  <si>
    <t>L-0023</t>
  </si>
  <si>
    <t>Prime Engineering</t>
  </si>
  <si>
    <t>L-0024</t>
  </si>
  <si>
    <t>Prime Projects LLC</t>
  </si>
  <si>
    <t>L-0025</t>
  </si>
  <si>
    <t>Pearl Construction</t>
  </si>
  <si>
    <t>L-0026</t>
  </si>
  <si>
    <t>Metro Projects LLC</t>
  </si>
  <si>
    <t>L-0027</t>
  </si>
  <si>
    <t>Horizon Facility Mgmt</t>
  </si>
  <si>
    <t>L-0028</t>
  </si>
  <si>
    <t>Pearl Projects LLC</t>
  </si>
  <si>
    <t>L-0029</t>
  </si>
  <si>
    <t>Horizon Projects LLC</t>
  </si>
  <si>
    <t>L-0030</t>
  </si>
  <si>
    <t>Royal Construction</t>
  </si>
  <si>
    <t>L-0031</t>
  </si>
  <si>
    <t>Desert Construction</t>
  </si>
  <si>
    <t>L-0032</t>
  </si>
  <si>
    <t>Apex Technical Services</t>
  </si>
  <si>
    <t>L-0033</t>
  </si>
  <si>
    <t>Royal Projects LLC</t>
  </si>
  <si>
    <t>L-0034</t>
  </si>
  <si>
    <t>Gulf Facility Mgmt</t>
  </si>
  <si>
    <t>L-0035</t>
  </si>
  <si>
    <t>Sahara Engineering</t>
  </si>
  <si>
    <t>L-0036</t>
  </si>
  <si>
    <t>Falcon Construction</t>
  </si>
  <si>
    <t>L-0037</t>
  </si>
  <si>
    <t>Royal Contracting LLC</t>
  </si>
  <si>
    <t>L-0038</t>
  </si>
  <si>
    <t>Gulf Construction</t>
  </si>
  <si>
    <t>L-0039</t>
  </si>
  <si>
    <t>Apex Engineering</t>
  </si>
  <si>
    <t>L-0040</t>
  </si>
  <si>
    <t>Gulf Industries</t>
  </si>
  <si>
    <t>L-0041</t>
  </si>
  <si>
    <t>Prime Industries</t>
  </si>
  <si>
    <t>L-0042</t>
  </si>
  <si>
    <t>Metro Contracting LLC</t>
  </si>
  <si>
    <t>L-0043</t>
  </si>
  <si>
    <t>Royal Trading LLC</t>
  </si>
  <si>
    <t>L-0044</t>
  </si>
  <si>
    <t>Skyline Industries</t>
  </si>
  <si>
    <t>L-0045</t>
  </si>
  <si>
    <t>Horizon Trading LLC</t>
  </si>
  <si>
    <t>L-0046</t>
  </si>
  <si>
    <t>Emirates Engineering</t>
  </si>
  <si>
    <t>L-0047</t>
  </si>
  <si>
    <t>Sahara Contracting LLC</t>
  </si>
  <si>
    <t>L-0048</t>
  </si>
  <si>
    <t>Union Contracting LLC</t>
  </si>
  <si>
    <t>L-0049</t>
  </si>
  <si>
    <t>Pearl Engineering</t>
  </si>
  <si>
    <t>L-0050</t>
  </si>
  <si>
    <t>Pearl Trading LLC</t>
  </si>
  <si>
    <t>L-0051</t>
  </si>
  <si>
    <t>Union Facility Mgmt</t>
  </si>
  <si>
    <t>L-0052</t>
  </si>
  <si>
    <t>Skyline Contracting LLC</t>
  </si>
  <si>
    <t>L-0053</t>
  </si>
  <si>
    <t>Emirates Construction</t>
  </si>
  <si>
    <t>L-0054</t>
  </si>
  <si>
    <t>Desert Contracting LLC</t>
  </si>
  <si>
    <t>L-0055</t>
  </si>
  <si>
    <t>Sahara Industries</t>
  </si>
  <si>
    <t>L-0056</t>
  </si>
  <si>
    <t>Sahara Projects LLC</t>
  </si>
  <si>
    <t>L-0057</t>
  </si>
  <si>
    <t>Pearl Facility Mgmt</t>
  </si>
  <si>
    <t>L-0058</t>
  </si>
  <si>
    <t>Sahara Facility Mgmt</t>
  </si>
  <si>
    <t>L-0059</t>
  </si>
  <si>
    <t>Apex Facility Mgmt</t>
  </si>
  <si>
    <t>L-0060</t>
  </si>
  <si>
    <t>Desert Industries</t>
  </si>
  <si>
    <t>L-0061</t>
  </si>
  <si>
    <t>Oasis Facility Mgmt</t>
  </si>
  <si>
    <t>L-0062</t>
  </si>
  <si>
    <t>Skyline Engineering</t>
  </si>
  <si>
    <t>L-0063</t>
  </si>
  <si>
    <t>Prime Contracting LLC</t>
  </si>
  <si>
    <t>L-0064</t>
  </si>
  <si>
    <t>Falcon Projects LLC</t>
  </si>
  <si>
    <t>L-0065</t>
  </si>
  <si>
    <t>Al Noor Trading LLC</t>
  </si>
  <si>
    <t>L-0066</t>
  </si>
  <si>
    <t>Royal Facility Mgmt</t>
  </si>
  <si>
    <t>L-0067</t>
  </si>
  <si>
    <t>Gulf Contracting LLC</t>
  </si>
  <si>
    <t>L-0068</t>
  </si>
  <si>
    <t>Apex Contracting LLC</t>
  </si>
  <si>
    <t>L-0069</t>
  </si>
  <si>
    <t>Sahara Technical Services</t>
  </si>
  <si>
    <t>L-0070</t>
  </si>
  <si>
    <t>Royal Engineering</t>
  </si>
  <si>
    <t>L-0071</t>
  </si>
  <si>
    <t>Oasis Technical Services</t>
  </si>
  <si>
    <t>L-0072</t>
  </si>
  <si>
    <t>Metro Construction</t>
  </si>
  <si>
    <t>L-0073</t>
  </si>
  <si>
    <t>Royal Technical Services</t>
  </si>
  <si>
    <t>L-0074</t>
  </si>
  <si>
    <t>Skyline Technical Services</t>
  </si>
  <si>
    <t>L-0075</t>
  </si>
  <si>
    <t>Union Technical Services</t>
  </si>
  <si>
    <t>L-0076</t>
  </si>
  <si>
    <t>Desert Technical Services</t>
  </si>
  <si>
    <t>L-0077</t>
  </si>
  <si>
    <t>Skyline Trading LLC</t>
  </si>
  <si>
    <t>L-0078</t>
  </si>
  <si>
    <t>Oasis Trading LLC</t>
  </si>
  <si>
    <t>L-0079</t>
  </si>
  <si>
    <t>Horizon Engineering</t>
  </si>
  <si>
    <t>L-0080</t>
  </si>
  <si>
    <t>Al Noor Facility Mgmt</t>
  </si>
  <si>
    <t>L-0081</t>
  </si>
  <si>
    <t>Al Noor Contracting LLC</t>
  </si>
  <si>
    <t>L-0082</t>
  </si>
  <si>
    <t>Oasis Contracting LLC</t>
  </si>
  <si>
    <t>L-0083</t>
  </si>
  <si>
    <t>Al Noor Projects LLC</t>
  </si>
  <si>
    <t>L-0084</t>
  </si>
  <si>
    <t>Skyline Facility Mgmt</t>
  </si>
  <si>
    <t>L-0085</t>
  </si>
  <si>
    <t>Pearl Contracting LLC</t>
  </si>
  <si>
    <t>L-0086</t>
  </si>
  <si>
    <t>Metro Technical Services</t>
  </si>
  <si>
    <t>L-0087</t>
  </si>
  <si>
    <t>Union Construction</t>
  </si>
  <si>
    <t>L-0088</t>
  </si>
  <si>
    <t>Union Industries</t>
  </si>
  <si>
    <t>L-0089</t>
  </si>
  <si>
    <t>Desert Facility Mgmt</t>
  </si>
  <si>
    <t>L-0090</t>
  </si>
  <si>
    <t>Metro Industries</t>
  </si>
  <si>
    <t>L-0091</t>
  </si>
  <si>
    <t>Desert Engineering</t>
  </si>
  <si>
    <t>L-0092</t>
  </si>
  <si>
    <t>Royal Industries</t>
  </si>
  <si>
    <t>L-0093</t>
  </si>
  <si>
    <t>Horizon Industries</t>
  </si>
  <si>
    <t>L-0094</t>
  </si>
  <si>
    <t>Skyline Projects LLC</t>
  </si>
  <si>
    <t>L-0095</t>
  </si>
  <si>
    <t>Al Noor Industries</t>
  </si>
  <si>
    <t>L-0096</t>
  </si>
  <si>
    <t>Emirates Facility Mgmt</t>
  </si>
  <si>
    <t>L-0097</t>
  </si>
  <si>
    <t>Falcon Technical Services</t>
  </si>
  <si>
    <t>L-0098</t>
  </si>
  <si>
    <t>Oasis Engineering</t>
  </si>
  <si>
    <t>L-0099</t>
  </si>
  <si>
    <t>Falcon Facility Mgmt</t>
  </si>
  <si>
    <t>L-0100</t>
  </si>
  <si>
    <t>Oasis Industries</t>
  </si>
  <si>
    <t>L-0101</t>
  </si>
  <si>
    <t>Sahara Trading LLC</t>
  </si>
  <si>
    <t>L-0102</t>
  </si>
  <si>
    <t>L-0103</t>
  </si>
  <si>
    <t>Desert Trading LLC</t>
  </si>
  <si>
    <t>L-0104</t>
  </si>
  <si>
    <t>L-0105</t>
  </si>
  <si>
    <t>L-0106</t>
  </si>
  <si>
    <t>L-0107</t>
  </si>
  <si>
    <t>L-0108</t>
  </si>
  <si>
    <t>L-0109</t>
  </si>
  <si>
    <t>L-0110</t>
  </si>
  <si>
    <t>Gulf Technical Services</t>
  </si>
  <si>
    <t>L-0111</t>
  </si>
  <si>
    <t>L-0112</t>
  </si>
  <si>
    <t>L-0113</t>
  </si>
  <si>
    <t>L-0114</t>
  </si>
  <si>
    <t>Horizon Contracting LLC</t>
  </si>
  <si>
    <t>L-0115</t>
  </si>
  <si>
    <t>Gulf Engineering</t>
  </si>
  <si>
    <t>L-0116</t>
  </si>
  <si>
    <t>L-0117</t>
  </si>
  <si>
    <t>L-0118</t>
  </si>
  <si>
    <t>L-0119</t>
  </si>
  <si>
    <t>L-0120</t>
  </si>
  <si>
    <t>L-0121</t>
  </si>
  <si>
    <t>L-0122</t>
  </si>
  <si>
    <t>L-0123</t>
  </si>
  <si>
    <t>L-0124</t>
  </si>
  <si>
    <t>L-0125</t>
  </si>
  <si>
    <t>L-0126</t>
  </si>
  <si>
    <t>L-0127</t>
  </si>
  <si>
    <t>L-0128</t>
  </si>
  <si>
    <t>L-0129</t>
  </si>
  <si>
    <t>L-0130</t>
  </si>
  <si>
    <t>L-0131</t>
  </si>
  <si>
    <t>L-0132</t>
  </si>
  <si>
    <t>L-0133</t>
  </si>
  <si>
    <t>L-0134</t>
  </si>
  <si>
    <t>L-0135</t>
  </si>
  <si>
    <t>L-0136</t>
  </si>
  <si>
    <t>L-0137</t>
  </si>
  <si>
    <t>L-0138</t>
  </si>
  <si>
    <t>L-0139</t>
  </si>
  <si>
    <t>L-0140</t>
  </si>
  <si>
    <t>L-0141</t>
  </si>
  <si>
    <t>L-0142</t>
  </si>
  <si>
    <t>L-0143</t>
  </si>
  <si>
    <t>L-0144</t>
  </si>
  <si>
    <t>L-0145</t>
  </si>
  <si>
    <t>L-0146</t>
  </si>
  <si>
    <t>L-0147</t>
  </si>
  <si>
    <t>L-0148</t>
  </si>
  <si>
    <t>L-0149</t>
  </si>
  <si>
    <t>L-0150</t>
  </si>
  <si>
    <t>L-0151</t>
  </si>
  <si>
    <t>L-0152</t>
  </si>
  <si>
    <t>L-0153</t>
  </si>
  <si>
    <t>L-0154</t>
  </si>
  <si>
    <t>L-0155</t>
  </si>
  <si>
    <t>L-0156</t>
  </si>
  <si>
    <t>L-0157</t>
  </si>
  <si>
    <t>L-0158</t>
  </si>
  <si>
    <t>Apex Industries</t>
  </si>
  <si>
    <t>L-0159</t>
  </si>
  <si>
    <t>L-0160</t>
  </si>
  <si>
    <t>L-0161</t>
  </si>
  <si>
    <t>L-0162</t>
  </si>
  <si>
    <t>L-0163</t>
  </si>
  <si>
    <t>L-0164</t>
  </si>
  <si>
    <t>L-0165</t>
  </si>
  <si>
    <t>L-0166</t>
  </si>
  <si>
    <t>L-0167</t>
  </si>
  <si>
    <t>L-0168</t>
  </si>
  <si>
    <t>L-0169</t>
  </si>
  <si>
    <t>L-0170</t>
  </si>
  <si>
    <t>L-0171</t>
  </si>
  <si>
    <t>L-0172</t>
  </si>
  <si>
    <t>L-0173</t>
  </si>
  <si>
    <t>L-0174</t>
  </si>
  <si>
    <t>L-0175</t>
  </si>
  <si>
    <t>L-0176</t>
  </si>
  <si>
    <t>L-0177</t>
  </si>
  <si>
    <t>L-0178</t>
  </si>
  <si>
    <t>L-0179</t>
  </si>
  <si>
    <t>Emirates Projects LLC</t>
  </si>
  <si>
    <t>L-0180</t>
  </si>
  <si>
    <t>L-0181</t>
  </si>
  <si>
    <t>L-0182</t>
  </si>
  <si>
    <t>L-0183</t>
  </si>
  <si>
    <t>L-0184</t>
  </si>
  <si>
    <t>L-0185</t>
  </si>
  <si>
    <t>L-0186</t>
  </si>
  <si>
    <t>Al Noor Construction</t>
  </si>
  <si>
    <t>L-0187</t>
  </si>
  <si>
    <t>L-0188</t>
  </si>
  <si>
    <t>L-0189</t>
  </si>
  <si>
    <t>L-0190</t>
  </si>
  <si>
    <t>L-0191</t>
  </si>
  <si>
    <t>L-0192</t>
  </si>
  <si>
    <t>L-0193</t>
  </si>
  <si>
    <t>L-0194</t>
  </si>
  <si>
    <t>L-0195</t>
  </si>
  <si>
    <t>L-0196</t>
  </si>
  <si>
    <t>Pearl Industries</t>
  </si>
  <si>
    <t>L-0197</t>
  </si>
  <si>
    <t>L-0198</t>
  </si>
  <si>
    <t>L-0199</t>
  </si>
  <si>
    <t>L-0200</t>
  </si>
  <si>
    <t>L-0201</t>
  </si>
  <si>
    <t>L-0202</t>
  </si>
  <si>
    <t>L-0203</t>
  </si>
  <si>
    <t>L-0204</t>
  </si>
  <si>
    <t>L-0205</t>
  </si>
  <si>
    <t>L-0206</t>
  </si>
  <si>
    <t>Falcon Trading LLC</t>
  </si>
  <si>
    <t>L-0207</t>
  </si>
  <si>
    <t>L-0208</t>
  </si>
  <si>
    <t>L-0209</t>
  </si>
  <si>
    <t>L-0210</t>
  </si>
  <si>
    <t>L-0211</t>
  </si>
  <si>
    <t>L-0212</t>
  </si>
  <si>
    <t>L-0213</t>
  </si>
  <si>
    <t>L-0214</t>
  </si>
  <si>
    <t>Emirates Contracting LLC</t>
  </si>
  <si>
    <t>L-0215</t>
  </si>
  <si>
    <t>L-0216</t>
  </si>
  <si>
    <t>L-0217</t>
  </si>
  <si>
    <t>L-0218</t>
  </si>
  <si>
    <t>L-0219</t>
  </si>
  <si>
    <t>L-0220</t>
  </si>
  <si>
    <t>Al Noor Technical Services</t>
  </si>
  <si>
    <t>L-0221</t>
  </si>
  <si>
    <t>L-0222</t>
  </si>
  <si>
    <t>L-0223</t>
  </si>
  <si>
    <t>L-0224</t>
  </si>
  <si>
    <t>L-0225</t>
  </si>
  <si>
    <t>L-0226</t>
  </si>
  <si>
    <t>L-0227</t>
  </si>
  <si>
    <t>L-0228</t>
  </si>
  <si>
    <t>Al Noor Engineering</t>
  </si>
  <si>
    <t>L-0229</t>
  </si>
  <si>
    <t>L-0230</t>
  </si>
  <si>
    <t>L-0231</t>
  </si>
  <si>
    <t>L-0232</t>
  </si>
  <si>
    <t>L-0233</t>
  </si>
  <si>
    <t>L-0234</t>
  </si>
  <si>
    <t>L-0235</t>
  </si>
  <si>
    <t>L-0236</t>
  </si>
  <si>
    <t>L-0237</t>
  </si>
  <si>
    <t>L-0238</t>
  </si>
  <si>
    <t>L-0239</t>
  </si>
  <si>
    <t>L-0240</t>
  </si>
  <si>
    <t>L-0241</t>
  </si>
  <si>
    <t>Metro Trading LLC</t>
  </si>
  <si>
    <t>L-0242</t>
  </si>
  <si>
    <t>L-0243</t>
  </si>
  <si>
    <t>Prime Construction</t>
  </si>
  <si>
    <t>L-0244</t>
  </si>
  <si>
    <t>L-0245</t>
  </si>
  <si>
    <t>L-0246</t>
  </si>
  <si>
    <t>L-0247</t>
  </si>
  <si>
    <t>L-0248</t>
  </si>
  <si>
    <t>L-0249</t>
  </si>
  <si>
    <t>L-0250</t>
  </si>
  <si>
    <t>L-0251</t>
  </si>
  <si>
    <t>L-0252</t>
  </si>
  <si>
    <t>L-0253</t>
  </si>
  <si>
    <t>L-0254</t>
  </si>
  <si>
    <t>L-0255</t>
  </si>
  <si>
    <t>L-0256</t>
  </si>
  <si>
    <t>L-0257</t>
  </si>
  <si>
    <t>L-0258</t>
  </si>
  <si>
    <t>L-0259</t>
  </si>
  <si>
    <t>L-0260</t>
  </si>
  <si>
    <t>L-0261</t>
  </si>
  <si>
    <t>L-0262</t>
  </si>
  <si>
    <t>L-0263</t>
  </si>
  <si>
    <t>L-0264</t>
  </si>
  <si>
    <t>L-0265</t>
  </si>
  <si>
    <t>L-0266</t>
  </si>
  <si>
    <t>L-0267</t>
  </si>
  <si>
    <t>L-0268</t>
  </si>
  <si>
    <t>L-0269</t>
  </si>
  <si>
    <t>L-0270</t>
  </si>
  <si>
    <t>L-0271</t>
  </si>
  <si>
    <t>L-0272</t>
  </si>
  <si>
    <t>L-0273</t>
  </si>
  <si>
    <t>L-0274</t>
  </si>
  <si>
    <t>L-0275</t>
  </si>
  <si>
    <t>L-0276</t>
  </si>
  <si>
    <t>L-0277</t>
  </si>
  <si>
    <t>L-0278</t>
  </si>
  <si>
    <t>L-0279</t>
  </si>
  <si>
    <t>L-0280</t>
  </si>
  <si>
    <t>L-0281</t>
  </si>
  <si>
    <t>L-0282</t>
  </si>
  <si>
    <t>L-0283</t>
  </si>
  <si>
    <t>L-0284</t>
  </si>
  <si>
    <t>L-0285</t>
  </si>
  <si>
    <t>L-0286</t>
  </si>
  <si>
    <t>L-0287</t>
  </si>
  <si>
    <t>L-0288</t>
  </si>
  <si>
    <t>L-0289</t>
  </si>
  <si>
    <t>L-0290</t>
  </si>
  <si>
    <t>L-0291</t>
  </si>
  <si>
    <t>L-0292</t>
  </si>
  <si>
    <t>L-0293</t>
  </si>
  <si>
    <t>L-0294</t>
  </si>
  <si>
    <t>L-0295</t>
  </si>
  <si>
    <t>L-0296</t>
  </si>
  <si>
    <t>L-0297</t>
  </si>
  <si>
    <t>L-0298</t>
  </si>
  <si>
    <t>L-0299</t>
  </si>
  <si>
    <t>L-0300</t>
  </si>
  <si>
    <t>L-0301</t>
  </si>
  <si>
    <t>L-0302</t>
  </si>
  <si>
    <t>L-0303</t>
  </si>
  <si>
    <t>L-0304</t>
  </si>
  <si>
    <t>L-0305</t>
  </si>
  <si>
    <t>L-0306</t>
  </si>
  <si>
    <t>Apex Construction</t>
  </si>
  <si>
    <t>L-0307</t>
  </si>
  <si>
    <t>L-0308</t>
  </si>
  <si>
    <t>L-0309</t>
  </si>
  <si>
    <t>L-0310</t>
  </si>
  <si>
    <t>L-0311</t>
  </si>
  <si>
    <t>L-0312</t>
  </si>
  <si>
    <t>L-0313</t>
  </si>
  <si>
    <t>L-0314</t>
  </si>
  <si>
    <t>L-0315</t>
  </si>
  <si>
    <t>L-0316</t>
  </si>
  <si>
    <t>L-0317</t>
  </si>
  <si>
    <t>Falcon Engineering</t>
  </si>
  <si>
    <t>L-0318</t>
  </si>
  <si>
    <t>L-0319</t>
  </si>
  <si>
    <t>L-0320</t>
  </si>
  <si>
    <t>Settings &amp; Lists</t>
  </si>
  <si>
    <t>As-of date (reporting date)</t>
  </si>
  <si>
    <t>Inactive threshold (days since last contact)</t>
  </si>
  <si>
    <t>Open leads with no contact for this many days are flagged Inactive.</t>
  </si>
  <si>
    <t>Executives</t>
  </si>
  <si>
    <t>Dashboard Filter</t>
  </si>
  <si>
    <t>Analysis</t>
  </si>
  <si>
    <t>Drop-down lists used by the Lead_Data sheet and Dashboard filter.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</si>
</sst>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"/>
    <numFmt numFmtId="166" formatCode="#,##0.00000"/>
    <numFmt numFmtId="167" formatCode="mm/dd/yy"/>
    <numFmt numFmtId="168" formatCode="dd\-mmm\-yy\ hh:mm"/>
    <numFmt numFmtId="169" formatCode="dd\-mmm\-yy"/>
    <numFmt numFmtId="170" formatCode="dd\-mmm\-yyyy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1F3864"/>
      <name val="Arial"/>
      <charset val="1"/>
    </font>
    <font>
      <b/>
      <sz val="11"/>
      <color rgb="FF0000FF"/>
      <name val="Arial"/>
      <charset val="1"/>
    </font>
    <font>
      <b/>
      <sz val="10"/>
      <color rgb="FFFFFFFF"/>
      <name val="Arial"/>
      <charset val="1"/>
    </font>
    <font>
      <b/>
      <sz val="22"/>
      <color rgb="FF2E75B6"/>
      <name val="Arial"/>
      <charset val="1"/>
    </font>
    <font>
      <b/>
      <sz val="22"/>
      <color rgb="FF548235"/>
      <name val="Arial"/>
      <charset val="1"/>
    </font>
    <font>
      <b/>
      <sz val="22"/>
      <color rgb="FFC00000"/>
      <name val="Arial"/>
      <charset val="1"/>
    </font>
    <font>
      <b/>
      <sz val="22"/>
      <color rgb="FFBF8F00"/>
      <name val="Arial"/>
      <charset val="1"/>
    </font>
    <font>
      <b/>
      <sz val="22"/>
      <color rgb="FF1F3864"/>
      <name val="Arial"/>
      <charset val="1"/>
    </font>
    <font>
      <b/>
      <sz val="22"/>
      <color rgb="FF7030A0"/>
      <name val="Arial"/>
      <charset val="1"/>
    </font>
    <font>
      <b/>
      <sz val="11"/>
      <color rgb="FFFFFFFF"/>
      <name val="Arial"/>
      <charset val="1"/>
    </font>
    <font>
      <b/>
      <sz val="9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8"/>
      <color rgb="FF595959"/>
      <name val="Arial"/>
      <charset val="1"/>
    </font>
    <font>
      <b/>
      <sz val="14"/>
      <color rgb="FF1F3864"/>
      <name val="Arial"/>
      <charset val="1"/>
    </font>
    <font>
      <sz val="10"/>
      <name val="Arial"/>
      <family val="2"/>
    </font>
    <font>
      <sz val="10"/>
      <color rgb="FF0000FF"/>
      <name val="Arial"/>
      <charset val="1"/>
    </font>
    <font>
      <b/>
      <sz val="9"/>
      <color rgb="FFC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75623"/>
      </patternFill>
    </fill>
    <fill>
      <patternFill patternType="solid">
        <fgColor rgb="FFFFFF99"/>
        <bgColor rgb="FFFFE699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FF6600"/>
      </patternFill>
    </fill>
    <fill>
      <patternFill patternType="solid">
        <fgColor rgb="FFF2F2F2"/>
        <bgColor rgb="FFDDEBF7"/>
      </patternFill>
    </fill>
    <fill>
      <patternFill patternType="solid">
        <fgColor rgb="FF7030A0"/>
        <bgColor rgb="FF5B2C83"/>
      </patternFill>
    </fill>
    <fill>
      <patternFill patternType="solid">
        <fgColor rgb="FFDDEBF7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/>
      <bottom style="thick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3" fillId="10" borderId="4" xfId="0" applyFont="1" applyFill="1" applyBorder="1" applyAlignment="1">
      <alignment horizontal="center" vertical="center" wrapText="1"/>
    </xf>
    <xf numFmtId="3" fontId="14" fillId="0" borderId="4" xfId="0" applyNumberFormat="1" applyFont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165" fontId="14" fillId="0" borderId="4" xfId="0" applyNumberFormat="1" applyFont="1" applyBorder="1" applyAlignment="1">
      <alignment horizontal="center"/>
    </xf>
    <xf numFmtId="3" fontId="14" fillId="8" borderId="4" xfId="0" applyNumberFormat="1" applyFont="1" applyFill="1" applyBorder="1" applyAlignment="1">
      <alignment horizontal="center"/>
    </xf>
    <xf numFmtId="164" fontId="14" fillId="8" borderId="4" xfId="0" applyNumberFormat="1" applyFont="1" applyFill="1" applyBorder="1" applyAlignment="1">
      <alignment horizontal="center"/>
    </xf>
    <xf numFmtId="165" fontId="14" fillId="8" borderId="4" xfId="0" applyNumberFormat="1" applyFont="1" applyFill="1" applyBorder="1" applyAlignment="1">
      <alignment horizontal="center"/>
    </xf>
    <xf numFmtId="3" fontId="15" fillId="8" borderId="4" xfId="0" applyNumberFormat="1" applyFont="1" applyFill="1" applyBorder="1" applyAlignment="1">
      <alignment horizontal="center"/>
    </xf>
    <xf numFmtId="164" fontId="15" fillId="8" borderId="4" xfId="0" applyNumberFormat="1" applyFont="1" applyFill="1" applyBorder="1" applyAlignment="1">
      <alignment horizontal="center"/>
    </xf>
    <xf numFmtId="165" fontId="15" fillId="8" borderId="4" xfId="0" applyNumberFormat="1" applyFont="1" applyFill="1" applyBorder="1" applyAlignment="1">
      <alignment horizontal="center"/>
    </xf>
    <xf numFmtId="1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1" fontId="14" fillId="8" borderId="4" xfId="0" applyNumberFormat="1" applyFont="1" applyFill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7" fillId="0" borderId="0" xfId="0" applyFont="1"/>
    <xf numFmtId="0" fontId="15" fillId="0" borderId="0" xfId="0" applyFont="1"/>
    <xf numFmtId="0" fontId="14" fillId="0" borderId="0" xfId="0" applyFont="1"/>
    <xf numFmtId="0" fontId="12" fillId="4" borderId="0" xfId="0" applyFont="1" applyFill="1"/>
    <xf numFmtId="0" fontId="14" fillId="0" borderId="4" xfId="0" applyFont="1" applyBorder="1"/>
    <xf numFmtId="3" fontId="14" fillId="0" borderId="4" xfId="0" applyNumberFormat="1" applyFont="1" applyBorder="1"/>
    <xf numFmtId="164" fontId="14" fillId="0" borderId="4" xfId="0" applyNumberFormat="1" applyFont="1" applyBorder="1"/>
    <xf numFmtId="165" fontId="14" fillId="0" borderId="4" xfId="0" applyNumberFormat="1" applyFont="1" applyBorder="1"/>
    <xf numFmtId="0" fontId="15" fillId="10" borderId="4" xfId="0" applyFont="1" applyFill="1" applyBorder="1" applyAlignment="1">
      <alignment horizontal="center" wrapText="1"/>
    </xf>
    <xf numFmtId="17" fontId="14" fillId="0" borderId="4" xfId="0" applyNumberFormat="1" applyFont="1" applyBorder="1"/>
    <xf numFmtId="0" fontId="15" fillId="0" borderId="4" xfId="0" applyFont="1" applyBorder="1"/>
    <xf numFmtId="3" fontId="15" fillId="0" borderId="4" xfId="0" applyNumberFormat="1" applyFont="1" applyBorder="1"/>
    <xf numFmtId="164" fontId="15" fillId="0" borderId="4" xfId="0" applyNumberFormat="1" applyFont="1" applyBorder="1"/>
    <xf numFmtId="165" fontId="15" fillId="0" borderId="4" xfId="0" applyNumberFormat="1" applyFont="1" applyBorder="1"/>
    <xf numFmtId="166" fontId="14" fillId="0" borderId="4" xfId="0" applyNumberFormat="1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168" fontId="14" fillId="0" borderId="0" xfId="0" applyNumberFormat="1" applyFont="1"/>
    <xf numFmtId="3" fontId="14" fillId="0" borderId="0" xfId="0" applyNumberFormat="1" applyFont="1"/>
    <xf numFmtId="169" fontId="14" fillId="0" borderId="0" xfId="0" applyNumberFormat="1" applyFont="1"/>
    <xf numFmtId="167" fontId="14" fillId="0" borderId="0" xfId="0" applyNumberFormat="1" applyFont="1"/>
    <xf numFmtId="17" fontId="14" fillId="0" borderId="0" xfId="0" applyNumberFormat="1" applyFon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  <xf numFmtId="170" fontId="19" fillId="3" borderId="4" xfId="0" applyNumberFormat="1" applyFont="1" applyFill="1" applyBorder="1"/>
    <xf numFmtId="0" fontId="2" fillId="0" borderId="0" xfId="0" applyFont="1"/>
    <xf numFmtId="0" fontId="19" fillId="3" borderId="4" xfId="0" applyFont="1" applyFill="1" applyBorder="1"/>
    <xf numFmtId="0" fontId="5" fillId="2" borderId="0" xfId="0" applyFont="1" applyFill="1" applyAlignment="1">
      <alignment horizontal="center"/>
    </xf>
    <xf numFmtId="0" fontId="19" fillId="0" borderId="4" xfId="0" applyFont="1" applyBorder="1"/>
    <xf numFmtId="0" fontId="20" fillId="0" borderId="0" xfId="0" applyFont="1"/>
    <xf numFmtId="0" fontId="1" fillId="2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3" fillId="0" borderId="0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Border="1"/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3" fontId="6" fillId="8" borderId="3" xfId="0" applyNumberFormat="1" applyFont="1" applyFill="1" applyBorder="1" applyAlignment="1">
      <alignment horizontal="center" vertical="center"/>
    </xf>
    <xf numFmtId="3" fontId="7" fillId="8" borderId="3" xfId="0" applyNumberFormat="1" applyFont="1" applyFill="1" applyBorder="1" applyAlignment="1">
      <alignment horizontal="center" vertical="center"/>
    </xf>
    <xf numFmtId="3" fontId="8" fillId="8" borderId="3" xfId="0" applyNumberFormat="1" applyFont="1" applyFill="1" applyBorder="1" applyAlignment="1">
      <alignment horizontal="center" vertical="center"/>
    </xf>
    <xf numFmtId="3" fontId="9" fillId="8" borderId="3" xfId="0" applyNumberFormat="1" applyFont="1" applyFill="1" applyBorder="1" applyAlignment="1">
      <alignment horizontal="center" vertical="center"/>
    </xf>
    <xf numFmtId="164" fontId="10" fillId="8" borderId="3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5" fontId="11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indent="1"/>
    </xf>
    <xf numFmtId="0" fontId="13" fillId="10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/>
    </xf>
    <xf numFmtId="3" fontId="14" fillId="0" borderId="4" xfId="0" applyNumberFormat="1" applyFont="1" applyBorder="1" applyAlignment="1">
      <alignment horizontal="center"/>
    </xf>
    <xf numFmtId="0" fontId="14" fillId="8" borderId="4" xfId="0" applyFont="1" applyFill="1" applyBorder="1" applyAlignment="1">
      <alignment horizontal="left"/>
    </xf>
    <xf numFmtId="3" fontId="14" fillId="8" borderId="4" xfId="0" applyNumberFormat="1" applyFont="1" applyFill="1" applyBorder="1" applyAlignment="1">
      <alignment horizontal="center"/>
    </xf>
    <xf numFmtId="0" fontId="15" fillId="8" borderId="4" xfId="0" applyFont="1" applyFill="1" applyBorder="1" applyAlignment="1">
      <alignment horizontal="left"/>
    </xf>
    <xf numFmtId="3" fontId="15" fillId="8" borderId="4" xfId="0" applyNumberFormat="1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8" borderId="4" xfId="0" applyFont="1" applyFill="1" applyBorder="1" applyAlignment="1">
      <alignment horizontal="center"/>
    </xf>
    <xf numFmtId="0" fontId="16" fillId="0" borderId="0" xfId="0" applyFont="1" applyBorder="1" applyAlignment="1">
      <alignment vertical="top" wrapText="1"/>
    </xf>
  </cellXfs>
  <cellStyles count="1">
    <cellStyle name="Normal" xfId="0" builtinId="0"/>
  </cellStyles>
  <dxfs count="10">
    <dxf>
      <fill>
        <patternFill>
          <bgColor rgb="FFC6E0B4"/>
        </patternFill>
      </fill>
    </dxf>
    <dxf>
      <fill>
        <patternFill>
          <bgColor rgb="FFD9C3E8"/>
        </patternFill>
      </fill>
    </dxf>
    <dxf>
      <fill>
        <patternFill>
          <bgColor rgb="FFFFE699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  <dxf>
      <font>
        <b/>
        <color rgb="FF375623"/>
        <name val="Arial"/>
        <charset val="1"/>
      </font>
      <fill>
        <patternFill>
          <bgColor rgb="FFC6E0B4"/>
        </patternFill>
      </fill>
    </dxf>
    <dxf>
      <font>
        <b/>
        <color rgb="FF5B2C83"/>
        <name val="Arial"/>
        <charset val="1"/>
      </font>
      <fill>
        <patternFill>
          <bgColor rgb="FFD9C3E8"/>
        </patternFill>
      </fill>
    </dxf>
    <dxf>
      <font>
        <b/>
        <color rgb="FF7F6000"/>
        <name val="Arial"/>
        <charset val="1"/>
      </font>
      <fill>
        <patternFill>
          <bgColor rgb="FFFFE699"/>
        </patternFill>
      </fill>
    </dxf>
    <dxf>
      <font>
        <b/>
        <color rgb="FFC00000"/>
        <name val="Arial"/>
        <charset val="1"/>
      </font>
      <fill>
        <patternFill>
          <bgColor rgb="FFF8CBAD"/>
        </patternFill>
      </fill>
    </dxf>
    <dxf>
      <font>
        <b/>
        <color rgb="FFBF8F00"/>
        <name val="Arial"/>
        <charset val="1"/>
      </font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7030A0"/>
      <rgbColor rgb="FFF2F2F2"/>
      <rgbColor rgb="FFDDEBF7"/>
      <rgbColor rgb="FF660066"/>
      <rgbColor rgb="FFFF8080"/>
      <rgbColor rgb="FF0066CC"/>
      <rgbColor rgb="FFD9C3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0B4"/>
      <rgbColor rgb="FFFFFF99"/>
      <rgbColor rgb="FF99CCFF"/>
      <rgbColor rgb="FFFF99CC"/>
      <rgbColor rgb="FFCC99FF"/>
      <rgbColor rgb="FFF8CBAD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548235"/>
      <rgbColor rgb="FF003300"/>
      <rgbColor rgb="FF333300"/>
      <rgbColor rgb="FF993300"/>
      <rgbColor rgb="FF993366"/>
      <rgbColor rgb="FF5B2C83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Pipeline by Stage (leads)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Analysis!$A$22:$A$27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Quotation Sent</c:v>
                </c:pt>
                <c:pt idx="3">
                  <c:v>Negotiation</c:v>
                </c:pt>
                <c:pt idx="4">
                  <c:v>Won</c:v>
                </c:pt>
                <c:pt idx="5">
                  <c:v>Lost</c:v>
                </c:pt>
              </c:strCache>
            </c:strRef>
          </c:cat>
          <c:val>
            <c:numRef>
              <c:f>Analysis!$B$22:$B$27</c:f>
              <c:numCache>
                <c:formatCode>#,##0</c:formatCode>
                <c:ptCount val="6"/>
                <c:pt idx="0">
                  <c:v>11</c:v>
                </c:pt>
                <c:pt idx="1">
                  <c:v>49</c:v>
                </c:pt>
                <c:pt idx="2">
                  <c:v>64</c:v>
                </c:pt>
                <c:pt idx="3">
                  <c:v>40</c:v>
                </c:pt>
                <c:pt idx="4">
                  <c:v>74</c:v>
                </c:pt>
                <c:pt idx="5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8-4939-90F4-88AF1118F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08002"/>
        <c:axId val="24227692"/>
      </c:barChart>
      <c:catAx>
        <c:axId val="7870800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27692"/>
        <c:crosses val="autoZero"/>
        <c:auto val="1"/>
        <c:lblAlgn val="ctr"/>
        <c:lblOffset val="100"/>
        <c:noMultiLvlLbl val="0"/>
      </c:catAx>
      <c:valAx>
        <c:axId val="24227692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70800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Leads vs Won / Lost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Analysis!$C$31</c:f>
              <c:strCache>
                <c:ptCount val="1"/>
                <c:pt idx="0">
                  <c:v>Leads Received</c:v>
                </c:pt>
              </c:strCache>
            </c:strRef>
          </c:tx>
          <c:spPr>
            <a:ln w="28440">
              <a:solidFill>
                <a:srgbClr val="2E75B6"/>
              </a:solidFill>
              <a:round/>
            </a:ln>
          </c:spPr>
          <c:marker>
            <c:symbol val="circle"/>
            <c:size val="5"/>
            <c:spPr>
              <a:solidFill>
                <a:srgbClr val="2E75B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Analysis!$B$32:$B$36</c:f>
              <c:strCache>
                <c:ptCount val="5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</c:strCache>
            </c:strRef>
          </c:cat>
          <c:val>
            <c:numRef>
              <c:f>Analysis!$C$32:$C$36</c:f>
              <c:numCache>
                <c:formatCode>#,##0</c:formatCode>
                <c:ptCount val="5"/>
                <c:pt idx="0">
                  <c:v>62</c:v>
                </c:pt>
                <c:pt idx="1">
                  <c:v>55</c:v>
                </c:pt>
                <c:pt idx="2">
                  <c:v>67</c:v>
                </c:pt>
                <c:pt idx="3">
                  <c:v>79</c:v>
                </c:pt>
                <c:pt idx="4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A8-448F-ADB8-806210DDAB53}"/>
            </c:ext>
          </c:extLst>
        </c:ser>
        <c:ser>
          <c:idx val="1"/>
          <c:order val="1"/>
          <c:tx>
            <c:strRef>
              <c:f>Analysis!$D$31</c:f>
              <c:strCache>
                <c:ptCount val="1"/>
                <c:pt idx="0">
                  <c:v>Won</c:v>
                </c:pt>
              </c:strCache>
            </c:strRef>
          </c:tx>
          <c:spPr>
            <a:ln w="28440">
              <a:solidFill>
                <a:srgbClr val="548235"/>
              </a:solidFill>
              <a:round/>
            </a:ln>
          </c:spPr>
          <c:marker>
            <c:symbol val="circle"/>
            <c:size val="5"/>
            <c:spPr>
              <a:solidFill>
                <a:srgbClr val="54823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Analysis!$B$32:$B$36</c:f>
              <c:strCache>
                <c:ptCount val="5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</c:strCache>
            </c:strRef>
          </c:cat>
          <c:val>
            <c:numRef>
              <c:f>Analysis!$D$32:$D$36</c:f>
              <c:numCache>
                <c:formatCode>#,##0</c:formatCode>
                <c:ptCount val="5"/>
                <c:pt idx="0">
                  <c:v>25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A8-448F-ADB8-806210DDAB53}"/>
            </c:ext>
          </c:extLst>
        </c:ser>
        <c:ser>
          <c:idx val="2"/>
          <c:order val="2"/>
          <c:tx>
            <c:strRef>
              <c:f>Analysis!$E$31</c:f>
              <c:strCache>
                <c:ptCount val="1"/>
                <c:pt idx="0">
                  <c:v>Lost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Analysis!$B$32:$B$36</c:f>
              <c:strCache>
                <c:ptCount val="5"/>
                <c:pt idx="0">
                  <c:v>Jun-26</c:v>
                </c:pt>
                <c:pt idx="1">
                  <c:v>Jul-26</c:v>
                </c:pt>
                <c:pt idx="2">
                  <c:v>Aug-26</c:v>
                </c:pt>
                <c:pt idx="3">
                  <c:v>Sep-26</c:v>
                </c:pt>
                <c:pt idx="4">
                  <c:v>Oct-26</c:v>
                </c:pt>
              </c:strCache>
            </c:strRef>
          </c:cat>
          <c:val>
            <c:numRef>
              <c:f>Analysis!$E$32:$E$36</c:f>
              <c:numCache>
                <c:formatCode>#,##0</c:formatCode>
                <c:ptCount val="5"/>
                <c:pt idx="0">
                  <c:v>22</c:v>
                </c:pt>
                <c:pt idx="1">
                  <c:v>21</c:v>
                </c:pt>
                <c:pt idx="2">
                  <c:v>20</c:v>
                </c:pt>
                <c:pt idx="3">
                  <c:v>15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A8-448F-ADB8-806210DDA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456221"/>
        <c:axId val="81091150"/>
      </c:lineChart>
      <c:catAx>
        <c:axId val="214562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91150"/>
        <c:crosses val="autoZero"/>
        <c:auto val="1"/>
        <c:lblAlgn val="ctr"/>
        <c:lblOffset val="100"/>
        <c:noMultiLvlLbl val="0"/>
      </c:catAx>
      <c:valAx>
        <c:axId val="81091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5622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Open Lead Ageing (days)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Analysis!$B$41</c:f>
              <c:strCache>
                <c:ptCount val="1"/>
                <c:pt idx="0">
                  <c:v>Open Leads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BF8F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Analysis!$A$42:$A$46</c:f>
              <c:strCache>
                <c:ptCount val="5"/>
                <c:pt idx="0">
                  <c:v>0-7 days</c:v>
                </c:pt>
                <c:pt idx="1">
                  <c:v>8-15 days</c:v>
                </c:pt>
                <c:pt idx="2">
                  <c:v>16-30 days</c:v>
                </c:pt>
                <c:pt idx="3">
                  <c:v>31-60 days</c:v>
                </c:pt>
                <c:pt idx="4">
                  <c:v>60+ days</c:v>
                </c:pt>
              </c:strCache>
            </c:strRef>
          </c:cat>
          <c:val>
            <c:numRef>
              <c:f>Analysis!$B$42:$B$46</c:f>
              <c:numCache>
                <c:formatCode>#,##0</c:formatCode>
                <c:ptCount val="5"/>
                <c:pt idx="0">
                  <c:v>26</c:v>
                </c:pt>
                <c:pt idx="1">
                  <c:v>15</c:v>
                </c:pt>
                <c:pt idx="2">
                  <c:v>41</c:v>
                </c:pt>
                <c:pt idx="3">
                  <c:v>35</c:v>
                </c:pt>
                <c:pt idx="4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6D-4762-8177-ADD93D72C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183109"/>
        <c:axId val="58528797"/>
      </c:barChart>
      <c:catAx>
        <c:axId val="821831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28797"/>
        <c:crosses val="autoZero"/>
        <c:auto val="1"/>
        <c:lblAlgn val="ctr"/>
        <c:lblOffset val="100"/>
        <c:noMultiLvlLbl val="0"/>
      </c:catAx>
      <c:valAx>
        <c:axId val="58528797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183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Leads by Executive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Analysis!$C$75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Analysis!$A$76:$A$82</c:f>
              <c:strCache>
                <c:ptCount val="7"/>
                <c:pt idx="0">
                  <c:v>Rahul Menon</c:v>
                </c:pt>
                <c:pt idx="1">
                  <c:v>Fatima Khan</c:v>
                </c:pt>
                <c:pt idx="2">
                  <c:v>Omar Siddiqui</c:v>
                </c:pt>
                <c:pt idx="3">
                  <c:v>Priya Nair</c:v>
                </c:pt>
                <c:pt idx="4">
                  <c:v>Ahmed Hassan</c:v>
                </c:pt>
                <c:pt idx="5">
                  <c:v>Sara Thomas</c:v>
                </c:pt>
                <c:pt idx="6">
                  <c:v>Unassigned</c:v>
                </c:pt>
              </c:strCache>
            </c:strRef>
          </c:cat>
          <c:val>
            <c:numRef>
              <c:f>Analysis!$C$76:$C$82</c:f>
              <c:numCache>
                <c:formatCode>#,##0</c:formatCode>
                <c:ptCount val="7"/>
                <c:pt idx="0">
                  <c:v>14</c:v>
                </c:pt>
                <c:pt idx="1">
                  <c:v>10</c:v>
                </c:pt>
                <c:pt idx="2">
                  <c:v>11</c:v>
                </c:pt>
                <c:pt idx="3">
                  <c:v>15</c:v>
                </c:pt>
                <c:pt idx="4">
                  <c:v>9</c:v>
                </c:pt>
                <c:pt idx="5">
                  <c:v>15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8-4C8E-8114-08EAEC5B2A48}"/>
            </c:ext>
          </c:extLst>
        </c:ser>
        <c:ser>
          <c:idx val="1"/>
          <c:order val="1"/>
          <c:tx>
            <c:strRef>
              <c:f>Analysis!$D$75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Analysis!$A$76:$A$82</c:f>
              <c:strCache>
                <c:ptCount val="7"/>
                <c:pt idx="0">
                  <c:v>Rahul Menon</c:v>
                </c:pt>
                <c:pt idx="1">
                  <c:v>Fatima Khan</c:v>
                </c:pt>
                <c:pt idx="2">
                  <c:v>Omar Siddiqui</c:v>
                </c:pt>
                <c:pt idx="3">
                  <c:v>Priya Nair</c:v>
                </c:pt>
                <c:pt idx="4">
                  <c:v>Ahmed Hassan</c:v>
                </c:pt>
                <c:pt idx="5">
                  <c:v>Sara Thomas</c:v>
                </c:pt>
                <c:pt idx="6">
                  <c:v>Unassigned</c:v>
                </c:pt>
              </c:strCache>
            </c:strRef>
          </c:cat>
          <c:val>
            <c:numRef>
              <c:f>Analysis!$D$76:$D$82</c:f>
              <c:numCache>
                <c:formatCode>#,##0</c:formatCode>
                <c:ptCount val="7"/>
                <c:pt idx="0">
                  <c:v>17</c:v>
                </c:pt>
                <c:pt idx="1">
                  <c:v>11</c:v>
                </c:pt>
                <c:pt idx="2">
                  <c:v>9</c:v>
                </c:pt>
                <c:pt idx="3">
                  <c:v>12</c:v>
                </c:pt>
                <c:pt idx="4">
                  <c:v>16</c:v>
                </c:pt>
                <c:pt idx="5">
                  <c:v>17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18-4C8E-8114-08EAEC5B2A48}"/>
            </c:ext>
          </c:extLst>
        </c:ser>
        <c:ser>
          <c:idx val="2"/>
          <c:order val="2"/>
          <c:tx>
            <c:strRef>
              <c:f>Analysis!$E$75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rgbClr val="BF8F00"/>
            </a:solidFill>
            <a:ln w="0">
              <a:solidFill>
                <a:srgbClr val="BF8F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Analysis!$A$76:$A$82</c:f>
              <c:strCache>
                <c:ptCount val="7"/>
                <c:pt idx="0">
                  <c:v>Rahul Menon</c:v>
                </c:pt>
                <c:pt idx="1">
                  <c:v>Fatima Khan</c:v>
                </c:pt>
                <c:pt idx="2">
                  <c:v>Omar Siddiqui</c:v>
                </c:pt>
                <c:pt idx="3">
                  <c:v>Priya Nair</c:v>
                </c:pt>
                <c:pt idx="4">
                  <c:v>Ahmed Hassan</c:v>
                </c:pt>
                <c:pt idx="5">
                  <c:v>Sara Thomas</c:v>
                </c:pt>
                <c:pt idx="6">
                  <c:v>Unassigned</c:v>
                </c:pt>
              </c:strCache>
            </c:strRef>
          </c:cat>
          <c:val>
            <c:numRef>
              <c:f>Analysis!$E$76:$E$82</c:f>
              <c:numCache>
                <c:formatCode>#,##0</c:formatCode>
                <c:ptCount val="7"/>
                <c:pt idx="0">
                  <c:v>22</c:v>
                </c:pt>
                <c:pt idx="1">
                  <c:v>22</c:v>
                </c:pt>
                <c:pt idx="2">
                  <c:v>31</c:v>
                </c:pt>
                <c:pt idx="3">
                  <c:v>29</c:v>
                </c:pt>
                <c:pt idx="4">
                  <c:v>28</c:v>
                </c:pt>
                <c:pt idx="5">
                  <c:v>25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18-4C8E-8114-08EAEC5B2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132806"/>
        <c:axId val="629040"/>
      </c:barChart>
      <c:catAx>
        <c:axId val="771328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040"/>
        <c:crosses val="autoZero"/>
        <c:auto val="1"/>
        <c:lblAlgn val="ctr"/>
        <c:lblOffset val="100"/>
        <c:noMultiLvlLbl val="0"/>
      </c:catAx>
      <c:valAx>
        <c:axId val="629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1328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Leads by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Analysis!$B$51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2E75B6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Analysis!$A$52:$A$59</c:f>
              <c:strCache>
                <c:ptCount val="8"/>
                <c:pt idx="0">
                  <c:v>Website</c:v>
                </c:pt>
                <c:pt idx="1">
                  <c:v>WhatsApp</c:v>
                </c:pt>
                <c:pt idx="2">
                  <c:v>Phone Call</c:v>
                </c:pt>
                <c:pt idx="3">
                  <c:v>Walk-in</c:v>
                </c:pt>
                <c:pt idx="4">
                  <c:v>Referral</c:v>
                </c:pt>
                <c:pt idx="5">
                  <c:v>Exhibition</c:v>
                </c:pt>
                <c:pt idx="6">
                  <c:v>LinkedIn</c:v>
                </c:pt>
                <c:pt idx="7">
                  <c:v>Email</c:v>
                </c:pt>
              </c:strCache>
            </c:strRef>
          </c:cat>
          <c:val>
            <c:numRef>
              <c:f>Analysis!$B$52:$B$59</c:f>
              <c:numCache>
                <c:formatCode>#,##0</c:formatCode>
                <c:ptCount val="8"/>
                <c:pt idx="0">
                  <c:v>48</c:v>
                </c:pt>
                <c:pt idx="1">
                  <c:v>78</c:v>
                </c:pt>
                <c:pt idx="2">
                  <c:v>60</c:v>
                </c:pt>
                <c:pt idx="3">
                  <c:v>25</c:v>
                </c:pt>
                <c:pt idx="4">
                  <c:v>42</c:v>
                </c:pt>
                <c:pt idx="5">
                  <c:v>17</c:v>
                </c:pt>
                <c:pt idx="6">
                  <c:v>25</c:v>
                </c:pt>
                <c:pt idx="7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7E-4948-85C3-E5506D2FE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72882"/>
        <c:axId val="51125650"/>
      </c:barChart>
      <c:catAx>
        <c:axId val="5897288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125650"/>
        <c:crosses val="autoZero"/>
        <c:auto val="1"/>
        <c:lblAlgn val="ctr"/>
        <c:lblOffset val="100"/>
        <c:noMultiLvlLbl val="0"/>
      </c:catAx>
      <c:valAx>
        <c:axId val="51125650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9728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Why Leads Were Lost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Analysis!$B$64</c:f>
              <c:strCache>
                <c:ptCount val="1"/>
                <c:pt idx="0">
                  <c:v>Lost Leads</c:v>
                </c:pt>
              </c:strCache>
            </c:strRef>
          </c:tx>
          <c:spPr>
            <a:solidFill>
              <a:srgbClr val="C00000"/>
            </a:solidFill>
            <a:ln w="0">
              <a:solidFill>
                <a:srgbClr val="C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Analysis!$A$65:$A$70</c:f>
              <c:strCache>
                <c:ptCount val="6"/>
                <c:pt idx="0">
                  <c:v>Price too high</c:v>
                </c:pt>
                <c:pt idx="1">
                  <c:v>Competitor won</c:v>
                </c:pt>
                <c:pt idx="2">
                  <c:v>No response</c:v>
                </c:pt>
                <c:pt idx="3">
                  <c:v>Requirement cancelled</c:v>
                </c:pt>
                <c:pt idx="4">
                  <c:v>Delivery time</c:v>
                </c:pt>
                <c:pt idx="5">
                  <c:v>Out of stock</c:v>
                </c:pt>
              </c:strCache>
            </c:strRef>
          </c:cat>
          <c:val>
            <c:numRef>
              <c:f>Analysis!$B$65:$B$70</c:f>
              <c:numCache>
                <c:formatCode>#,##0</c:formatCode>
                <c:ptCount val="6"/>
                <c:pt idx="0">
                  <c:v>25</c:v>
                </c:pt>
                <c:pt idx="1">
                  <c:v>15</c:v>
                </c:pt>
                <c:pt idx="2">
                  <c:v>25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7-4DFA-9CBB-A8A1A5134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4246312"/>
        <c:axId val="63160994"/>
      </c:barChart>
      <c:catAx>
        <c:axId val="842463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160994"/>
        <c:crosses val="autoZero"/>
        <c:auto val="1"/>
        <c:lblAlgn val="ctr"/>
        <c:lblOffset val="100"/>
        <c:noMultiLvlLbl val="0"/>
      </c:catAx>
      <c:valAx>
        <c:axId val="63160994"/>
        <c:scaling>
          <c:orientation val="minMax"/>
        </c:scaling>
        <c:delete val="0"/>
        <c:axPos val="t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42463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39600</xdr:colOff>
      <xdr:row>23</xdr:row>
      <xdr:rowOff>187200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11</xdr:col>
      <xdr:colOff>39240</xdr:colOff>
      <xdr:row>23</xdr:row>
      <xdr:rowOff>187200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10</xdr:row>
      <xdr:rowOff>0</xdr:rowOff>
    </xdr:from>
    <xdr:to>
      <xdr:col>16</xdr:col>
      <xdr:colOff>39600</xdr:colOff>
      <xdr:row>23</xdr:row>
      <xdr:rowOff>187200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26</xdr:row>
      <xdr:rowOff>0</xdr:rowOff>
    </xdr:from>
    <xdr:to>
      <xdr:col>6</xdr:col>
      <xdr:colOff>39600</xdr:colOff>
      <xdr:row>39</xdr:row>
      <xdr:rowOff>187200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11</xdr:col>
      <xdr:colOff>39240</xdr:colOff>
      <xdr:row>39</xdr:row>
      <xdr:rowOff>187200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26</xdr:row>
      <xdr:rowOff>0</xdr:rowOff>
    </xdr:from>
    <xdr:to>
      <xdr:col>16</xdr:col>
      <xdr:colOff>39600</xdr:colOff>
      <xdr:row>39</xdr:row>
      <xdr:rowOff>187200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68"/>
  <sheetViews>
    <sheetView showGridLines="0" zoomScaleNormal="100" workbookViewId="0">
      <selection activeCell="H10" sqref="H10"/>
    </sheetView>
  </sheetViews>
  <sheetFormatPr defaultColWidth="8.7109375" defaultRowHeight="15" x14ac:dyDescent="0.25"/>
  <cols>
    <col min="1" max="1" width="2" customWidth="1"/>
    <col min="2" max="16" width="10" customWidth="1"/>
    <col min="17" max="17" width="2" customWidth="1"/>
  </cols>
  <sheetData>
    <row r="1" spans="2:16" ht="39.75" customHeight="1" x14ac:dyDescent="0.25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2:16" x14ac:dyDescent="0.25">
      <c r="B2" s="47" t="str">
        <f>"Reporting date: "&amp;TEXT(Settings!$C$3,"dd mmm yyyy")&amp;"   |   Sample data   |   Source: Lead_Data sheet (CRM / ERP lead export)"</f>
        <v>Reporting date: 19 Oct 2026   |   Sample data   |   Source: Lead_Data sheet (CRM / ERP lead export)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3" spans="2:16" x14ac:dyDescent="0.25">
      <c r="B3" s="48" t="s">
        <v>1</v>
      </c>
      <c r="C3" s="48"/>
      <c r="D3" s="49" t="s">
        <v>2</v>
      </c>
      <c r="E3" s="49"/>
      <c r="F3" s="49"/>
      <c r="G3" s="50" t="s">
        <v>3</v>
      </c>
      <c r="H3" s="50"/>
      <c r="I3" s="50"/>
      <c r="J3" s="50"/>
      <c r="K3" s="50"/>
      <c r="L3" s="50"/>
      <c r="M3" s="50"/>
      <c r="N3" s="50"/>
      <c r="O3" s="50"/>
      <c r="P3" s="50"/>
    </row>
    <row r="5" spans="2:16" ht="19.5" customHeight="1" x14ac:dyDescent="0.25">
      <c r="B5" s="51" t="s">
        <v>4</v>
      </c>
      <c r="C5" s="51"/>
      <c r="D5" s="51"/>
      <c r="E5" s="52" t="s">
        <v>5</v>
      </c>
      <c r="F5" s="52"/>
      <c r="G5" s="52"/>
      <c r="H5" s="53" t="s">
        <v>6</v>
      </c>
      <c r="I5" s="53"/>
      <c r="J5" s="53"/>
      <c r="K5" s="54" t="s">
        <v>7</v>
      </c>
      <c r="L5" s="54"/>
      <c r="M5" s="54"/>
      <c r="N5" s="55" t="s">
        <v>8</v>
      </c>
      <c r="O5" s="55"/>
      <c r="P5" s="55"/>
    </row>
    <row r="6" spans="2:16" ht="37.5" customHeight="1" x14ac:dyDescent="0.25">
      <c r="B6" s="56">
        <f>Analysis!B5</f>
        <v>320</v>
      </c>
      <c r="C6" s="56"/>
      <c r="D6" s="56"/>
      <c r="E6" s="57">
        <f>Analysis!B6</f>
        <v>74</v>
      </c>
      <c r="F6" s="57"/>
      <c r="G6" s="57"/>
      <c r="H6" s="58">
        <f>Analysis!B7</f>
        <v>82</v>
      </c>
      <c r="I6" s="58"/>
      <c r="J6" s="58"/>
      <c r="K6" s="59">
        <f>Analysis!B8</f>
        <v>164</v>
      </c>
      <c r="L6" s="59"/>
      <c r="M6" s="59"/>
      <c r="N6" s="60">
        <f>Analysis!B9</f>
        <v>0.23125000000000001</v>
      </c>
      <c r="O6" s="60"/>
      <c r="P6" s="60"/>
    </row>
    <row r="7" spans="2:16" ht="7.5" customHeight="1" x14ac:dyDescent="0.25"/>
    <row r="8" spans="2:16" ht="19.5" customHeight="1" x14ac:dyDescent="0.25">
      <c r="B8" s="51" t="s">
        <v>9</v>
      </c>
      <c r="C8" s="51"/>
      <c r="D8" s="51"/>
      <c r="E8" s="52" t="s">
        <v>10</v>
      </c>
      <c r="F8" s="52"/>
      <c r="G8" s="52"/>
      <c r="H8" s="61" t="s">
        <v>11</v>
      </c>
      <c r="I8" s="61"/>
      <c r="J8" s="61"/>
      <c r="K8" s="54" t="s">
        <v>12</v>
      </c>
      <c r="L8" s="54"/>
      <c r="M8" s="54"/>
      <c r="N8" s="53" t="s">
        <v>13</v>
      </c>
      <c r="O8" s="53"/>
      <c r="P8" s="53"/>
    </row>
    <row r="9" spans="2:16" ht="37.5" customHeight="1" x14ac:dyDescent="0.25">
      <c r="B9" s="56">
        <f>Analysis!B10</f>
        <v>7671200</v>
      </c>
      <c r="C9" s="56"/>
      <c r="D9" s="56"/>
      <c r="E9" s="57">
        <f>Analysis!B11</f>
        <v>2906100</v>
      </c>
      <c r="F9" s="57"/>
      <c r="G9" s="57"/>
      <c r="H9" s="62">
        <f>Analysis!B12</f>
        <v>8.17669902912621</v>
      </c>
      <c r="I9" s="62"/>
      <c r="J9" s="62"/>
      <c r="K9" s="63">
        <f>Analysis!B13</f>
        <v>0.53658536585365857</v>
      </c>
      <c r="L9" s="63"/>
      <c r="M9" s="63"/>
      <c r="N9" s="58">
        <f>Analysis!B17</f>
        <v>76</v>
      </c>
      <c r="O9" s="58"/>
      <c r="P9" s="58"/>
    </row>
    <row r="43" spans="2:16" x14ac:dyDescent="0.25">
      <c r="B43" s="64" t="s">
        <v>14</v>
      </c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</row>
    <row r="44" spans="2:16" ht="27.75" customHeight="1" x14ac:dyDescent="0.25">
      <c r="B44" s="65" t="s">
        <v>15</v>
      </c>
      <c r="C44" s="65"/>
      <c r="D44" s="1" t="s">
        <v>16</v>
      </c>
      <c r="E44" s="1" t="s">
        <v>17</v>
      </c>
      <c r="F44" s="1" t="s">
        <v>18</v>
      </c>
      <c r="G44" s="1" t="s">
        <v>19</v>
      </c>
      <c r="H44" s="1" t="s">
        <v>20</v>
      </c>
      <c r="I44" s="65" t="s">
        <v>10</v>
      </c>
      <c r="J44" s="65"/>
      <c r="K44" s="65" t="s">
        <v>21</v>
      </c>
      <c r="L44" s="65"/>
      <c r="M44" s="1" t="s">
        <v>22</v>
      </c>
      <c r="N44" s="1" t="s">
        <v>23</v>
      </c>
      <c r="O44" s="1" t="s">
        <v>24</v>
      </c>
      <c r="P44" s="1" t="s">
        <v>25</v>
      </c>
    </row>
    <row r="45" spans="2:16" x14ac:dyDescent="0.25">
      <c r="B45" s="66" t="str">
        <f>Analysis!A76</f>
        <v>Rahul Menon</v>
      </c>
      <c r="C45" s="66"/>
      <c r="D45" s="2">
        <f>Analysis!B76</f>
        <v>53</v>
      </c>
      <c r="E45" s="2">
        <f>Analysis!C76</f>
        <v>14</v>
      </c>
      <c r="F45" s="2">
        <f>Analysis!D76</f>
        <v>17</v>
      </c>
      <c r="G45" s="2">
        <f>Analysis!E76</f>
        <v>22</v>
      </c>
      <c r="H45" s="3">
        <f>Analysis!F76</f>
        <v>0.26415094339622641</v>
      </c>
      <c r="I45" s="67">
        <f>Analysis!G76</f>
        <v>345800</v>
      </c>
      <c r="J45" s="67"/>
      <c r="K45" s="67">
        <f>Analysis!H76</f>
        <v>900100</v>
      </c>
      <c r="L45" s="67"/>
      <c r="M45" s="4">
        <f>Analysis!I76</f>
        <v>6.0339622641509472</v>
      </c>
      <c r="N45" s="2">
        <f>Analysis!J76</f>
        <v>10</v>
      </c>
      <c r="O45" s="2">
        <f>Analysis!K76</f>
        <v>1</v>
      </c>
      <c r="P45" s="3">
        <f>Analysis!L76</f>
        <v>0.5</v>
      </c>
    </row>
    <row r="46" spans="2:16" x14ac:dyDescent="0.25">
      <c r="B46" s="68" t="str">
        <f>Analysis!A77</f>
        <v>Fatima Khan</v>
      </c>
      <c r="C46" s="68"/>
      <c r="D46" s="5">
        <f>Analysis!B77</f>
        <v>43</v>
      </c>
      <c r="E46" s="5">
        <f>Analysis!C77</f>
        <v>10</v>
      </c>
      <c r="F46" s="5">
        <f>Analysis!D77</f>
        <v>11</v>
      </c>
      <c r="G46" s="5">
        <f>Analysis!E77</f>
        <v>22</v>
      </c>
      <c r="H46" s="6">
        <f>Analysis!F77</f>
        <v>0.23255813953488372</v>
      </c>
      <c r="I46" s="69">
        <f>Analysis!G77</f>
        <v>430400</v>
      </c>
      <c r="J46" s="69"/>
      <c r="K46" s="69">
        <f>Analysis!H77</f>
        <v>1248800</v>
      </c>
      <c r="L46" s="69"/>
      <c r="M46" s="7">
        <f>Analysis!I77</f>
        <v>7.1707317073170733</v>
      </c>
      <c r="N46" s="5">
        <f>Analysis!J77</f>
        <v>6</v>
      </c>
      <c r="O46" s="5">
        <f>Analysis!K77</f>
        <v>0</v>
      </c>
      <c r="P46" s="6">
        <f>Analysis!L77</f>
        <v>0.72727272727272729</v>
      </c>
    </row>
    <row r="47" spans="2:16" x14ac:dyDescent="0.25">
      <c r="B47" s="66" t="str">
        <f>Analysis!A78</f>
        <v>Omar Siddiqui</v>
      </c>
      <c r="C47" s="66"/>
      <c r="D47" s="2">
        <f>Analysis!B78</f>
        <v>51</v>
      </c>
      <c r="E47" s="2">
        <f>Analysis!C78</f>
        <v>11</v>
      </c>
      <c r="F47" s="2">
        <f>Analysis!D78</f>
        <v>9</v>
      </c>
      <c r="G47" s="2">
        <f>Analysis!E78</f>
        <v>31</v>
      </c>
      <c r="H47" s="3">
        <f>Analysis!F78</f>
        <v>0.21568627450980393</v>
      </c>
      <c r="I47" s="67">
        <f>Analysis!G78</f>
        <v>291300</v>
      </c>
      <c r="J47" s="67"/>
      <c r="K47" s="67">
        <f>Analysis!H78</f>
        <v>1131600</v>
      </c>
      <c r="L47" s="67"/>
      <c r="M47" s="4">
        <f>Analysis!I78</f>
        <v>13.864000000000001</v>
      </c>
      <c r="N47" s="2">
        <f>Analysis!J78</f>
        <v>11</v>
      </c>
      <c r="O47" s="2">
        <f>Analysis!K78</f>
        <v>0</v>
      </c>
      <c r="P47" s="3">
        <f>Analysis!L78</f>
        <v>0.64516129032258063</v>
      </c>
    </row>
    <row r="48" spans="2:16" x14ac:dyDescent="0.25">
      <c r="B48" s="68" t="str">
        <f>Analysis!A79</f>
        <v>Priya Nair</v>
      </c>
      <c r="C48" s="68"/>
      <c r="D48" s="5">
        <f>Analysis!B79</f>
        <v>56</v>
      </c>
      <c r="E48" s="5">
        <f>Analysis!C79</f>
        <v>15</v>
      </c>
      <c r="F48" s="5">
        <f>Analysis!D79</f>
        <v>12</v>
      </c>
      <c r="G48" s="5">
        <f>Analysis!E79</f>
        <v>29</v>
      </c>
      <c r="H48" s="6">
        <f>Analysis!F79</f>
        <v>0.26785714285714285</v>
      </c>
      <c r="I48" s="69">
        <f>Analysis!G79</f>
        <v>804700</v>
      </c>
      <c r="J48" s="69"/>
      <c r="K48" s="69">
        <f>Analysis!H79</f>
        <v>1346100</v>
      </c>
      <c r="L48" s="69"/>
      <c r="M48" s="7">
        <f>Analysis!I79</f>
        <v>5.4036363636363633</v>
      </c>
      <c r="N48" s="5">
        <f>Analysis!J79</f>
        <v>14</v>
      </c>
      <c r="O48" s="5">
        <f>Analysis!K79</f>
        <v>1</v>
      </c>
      <c r="P48" s="6">
        <f>Analysis!L79</f>
        <v>0.48275862068965519</v>
      </c>
    </row>
    <row r="49" spans="2:16" x14ac:dyDescent="0.25">
      <c r="B49" s="66" t="str">
        <f>Analysis!A80</f>
        <v>Ahmed Hassan</v>
      </c>
      <c r="C49" s="66"/>
      <c r="D49" s="2">
        <f>Analysis!B80</f>
        <v>53</v>
      </c>
      <c r="E49" s="2">
        <f>Analysis!C80</f>
        <v>9</v>
      </c>
      <c r="F49" s="2">
        <f>Analysis!D80</f>
        <v>16</v>
      </c>
      <c r="G49" s="2">
        <f>Analysis!E80</f>
        <v>28</v>
      </c>
      <c r="H49" s="3">
        <f>Analysis!F80</f>
        <v>0.16981132075471697</v>
      </c>
      <c r="I49" s="67">
        <f>Analysis!G80</f>
        <v>367200</v>
      </c>
      <c r="J49" s="67"/>
      <c r="K49" s="67">
        <f>Analysis!H80</f>
        <v>1063900</v>
      </c>
      <c r="L49" s="67"/>
      <c r="M49" s="4">
        <f>Analysis!I80</f>
        <v>10.0811320754717</v>
      </c>
      <c r="N49" s="2">
        <f>Analysis!J80</f>
        <v>15</v>
      </c>
      <c r="O49" s="2">
        <f>Analysis!K80</f>
        <v>1</v>
      </c>
      <c r="P49" s="3">
        <f>Analysis!L80</f>
        <v>0.42857142857142855</v>
      </c>
    </row>
    <row r="50" spans="2:16" x14ac:dyDescent="0.25">
      <c r="B50" s="68" t="str">
        <f>Analysis!A81</f>
        <v>Sara Thomas</v>
      </c>
      <c r="C50" s="68"/>
      <c r="D50" s="5">
        <f>Analysis!B81</f>
        <v>57</v>
      </c>
      <c r="E50" s="5">
        <f>Analysis!C81</f>
        <v>15</v>
      </c>
      <c r="F50" s="5">
        <f>Analysis!D81</f>
        <v>17</v>
      </c>
      <c r="G50" s="5">
        <f>Analysis!E81</f>
        <v>25</v>
      </c>
      <c r="H50" s="6">
        <f>Analysis!F81</f>
        <v>0.26315789473684209</v>
      </c>
      <c r="I50" s="69">
        <f>Analysis!G81</f>
        <v>666700</v>
      </c>
      <c r="J50" s="69"/>
      <c r="K50" s="69">
        <f>Analysis!H81</f>
        <v>1663000</v>
      </c>
      <c r="L50" s="69"/>
      <c r="M50" s="7">
        <f>Analysis!I81</f>
        <v>6.8087719298245606</v>
      </c>
      <c r="N50" s="5">
        <f>Analysis!J81</f>
        <v>10</v>
      </c>
      <c r="O50" s="5">
        <f>Analysis!K81</f>
        <v>0</v>
      </c>
      <c r="P50" s="6">
        <f>Analysis!L81</f>
        <v>0.6</v>
      </c>
    </row>
    <row r="51" spans="2:16" x14ac:dyDescent="0.25">
      <c r="B51" s="66" t="str">
        <f>Analysis!A82</f>
        <v>Unassigned</v>
      </c>
      <c r="C51" s="66"/>
      <c r="D51" s="2">
        <f>Analysis!B82</f>
        <v>7</v>
      </c>
      <c r="E51" s="2">
        <f>Analysis!C82</f>
        <v>0</v>
      </c>
      <c r="F51" s="2">
        <f>Analysis!D82</f>
        <v>0</v>
      </c>
      <c r="G51" s="2">
        <f>Analysis!E82</f>
        <v>7</v>
      </c>
      <c r="H51" s="3">
        <f>Analysis!F82</f>
        <v>0</v>
      </c>
      <c r="I51" s="67">
        <f>Analysis!G82</f>
        <v>0</v>
      </c>
      <c r="J51" s="67"/>
      <c r="K51" s="67">
        <f>Analysis!H82</f>
        <v>317700</v>
      </c>
      <c r="L51" s="67"/>
      <c r="M51" s="4">
        <f>Analysis!I82</f>
        <v>0</v>
      </c>
      <c r="N51" s="2">
        <f>Analysis!J82</f>
        <v>0</v>
      </c>
      <c r="O51" s="2">
        <f>Analysis!K82</f>
        <v>0</v>
      </c>
      <c r="P51" s="3">
        <f>Analysis!L82</f>
        <v>0</v>
      </c>
    </row>
    <row r="52" spans="2:16" x14ac:dyDescent="0.25">
      <c r="B52" s="70" t="str">
        <f>Analysis!A83</f>
        <v>Total</v>
      </c>
      <c r="C52" s="70"/>
      <c r="D52" s="8">
        <f>Analysis!B83</f>
        <v>320</v>
      </c>
      <c r="E52" s="8">
        <f>Analysis!C83</f>
        <v>74</v>
      </c>
      <c r="F52" s="8">
        <f>Analysis!D83</f>
        <v>82</v>
      </c>
      <c r="G52" s="8">
        <f>Analysis!E83</f>
        <v>164</v>
      </c>
      <c r="H52" s="9">
        <f>Analysis!F83</f>
        <v>0.23125000000000001</v>
      </c>
      <c r="I52" s="71">
        <f>Analysis!G83</f>
        <v>2906100</v>
      </c>
      <c r="J52" s="71"/>
      <c r="K52" s="71">
        <f>Analysis!H83</f>
        <v>7671200</v>
      </c>
      <c r="L52" s="71"/>
      <c r="M52" s="10">
        <f>Analysis!I83</f>
        <v>8.17669902912621</v>
      </c>
      <c r="N52" s="8">
        <f>Analysis!J83</f>
        <v>66</v>
      </c>
      <c r="O52" s="8">
        <f>Analysis!K83</f>
        <v>3</v>
      </c>
      <c r="P52" s="9">
        <f>Analysis!L83</f>
        <v>0.53658536585365857</v>
      </c>
    </row>
    <row r="55" spans="2:16" x14ac:dyDescent="0.25">
      <c r="B55" s="64" t="s">
        <v>26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</row>
    <row r="56" spans="2:16" ht="27.75" customHeight="1" x14ac:dyDescent="0.25">
      <c r="B56" s="1" t="s">
        <v>27</v>
      </c>
      <c r="C56" s="1" t="s">
        <v>28</v>
      </c>
      <c r="D56" s="65" t="s">
        <v>29</v>
      </c>
      <c r="E56" s="65"/>
      <c r="F56" s="65"/>
      <c r="G56" s="65" t="s">
        <v>15</v>
      </c>
      <c r="H56" s="65"/>
      <c r="I56" s="65" t="s">
        <v>30</v>
      </c>
      <c r="J56" s="65"/>
      <c r="K56" s="65" t="s">
        <v>31</v>
      </c>
      <c r="L56" s="65"/>
      <c r="M56" s="1" t="s">
        <v>32</v>
      </c>
      <c r="N56" s="65" t="s">
        <v>33</v>
      </c>
      <c r="O56" s="65"/>
      <c r="P56" s="1" t="s">
        <v>34</v>
      </c>
    </row>
    <row r="57" spans="2:16" x14ac:dyDescent="0.25">
      <c r="B57" s="11">
        <f>Analysis!A89</f>
        <v>1</v>
      </c>
      <c r="C57" s="12" t="str">
        <f>Analysis!D89</f>
        <v>L-0192</v>
      </c>
      <c r="D57" s="66" t="str">
        <f>Analysis!E89</f>
        <v>Union Construction</v>
      </c>
      <c r="E57" s="66"/>
      <c r="F57" s="66"/>
      <c r="G57" s="72" t="str">
        <f>Analysis!F89</f>
        <v>Sara Thomas</v>
      </c>
      <c r="H57" s="72"/>
      <c r="I57" s="72" t="str">
        <f>Analysis!G89</f>
        <v>Negotiation</v>
      </c>
      <c r="J57" s="72"/>
      <c r="K57" s="67">
        <f>Analysis!H89</f>
        <v>371900</v>
      </c>
      <c r="L57" s="67"/>
      <c r="M57" s="11">
        <f>Analysis!I89</f>
        <v>8</v>
      </c>
      <c r="N57" s="72" t="str">
        <f>Analysis!J89</f>
        <v>Overdue</v>
      </c>
      <c r="O57" s="72"/>
      <c r="P57" s="12" t="str">
        <f>Analysis!K89</f>
        <v>LinkedIn</v>
      </c>
    </row>
    <row r="58" spans="2:16" x14ac:dyDescent="0.25">
      <c r="B58" s="13">
        <f>Analysis!A90</f>
        <v>2</v>
      </c>
      <c r="C58" s="14" t="str">
        <f>Analysis!D90</f>
        <v>L-0131</v>
      </c>
      <c r="D58" s="68" t="str">
        <f>Analysis!E90</f>
        <v>Falcon Technical Services</v>
      </c>
      <c r="E58" s="68"/>
      <c r="F58" s="68"/>
      <c r="G58" s="73" t="str">
        <f>Analysis!F90</f>
        <v>Fatima Khan</v>
      </c>
      <c r="H58" s="73"/>
      <c r="I58" s="73" t="str">
        <f>Analysis!G90</f>
        <v>Negotiation</v>
      </c>
      <c r="J58" s="73"/>
      <c r="K58" s="69">
        <f>Analysis!H90</f>
        <v>331500</v>
      </c>
      <c r="L58" s="69"/>
      <c r="M58" s="13">
        <f>Analysis!I90</f>
        <v>3</v>
      </c>
      <c r="N58" s="73" t="str">
        <f>Analysis!J90</f>
        <v>On Track</v>
      </c>
      <c r="O58" s="73"/>
      <c r="P58" s="14" t="str">
        <f>Analysis!K90</f>
        <v>Exhibition</v>
      </c>
    </row>
    <row r="59" spans="2:16" x14ac:dyDescent="0.25">
      <c r="B59" s="11">
        <f>Analysis!A91</f>
        <v>3</v>
      </c>
      <c r="C59" s="12" t="str">
        <f>Analysis!D91</f>
        <v>L-0035</v>
      </c>
      <c r="D59" s="66" t="str">
        <f>Analysis!E91</f>
        <v>Sahara Engineering</v>
      </c>
      <c r="E59" s="66"/>
      <c r="F59" s="66"/>
      <c r="G59" s="72" t="str">
        <f>Analysis!F91</f>
        <v>Priya Nair</v>
      </c>
      <c r="H59" s="72"/>
      <c r="I59" s="72" t="str">
        <f>Analysis!G91</f>
        <v>Negotiation</v>
      </c>
      <c r="J59" s="72"/>
      <c r="K59" s="67">
        <f>Analysis!H91</f>
        <v>293300</v>
      </c>
      <c r="L59" s="67"/>
      <c r="M59" s="11">
        <f>Analysis!I91</f>
        <v>18</v>
      </c>
      <c r="N59" s="72" t="str">
        <f>Analysis!J91</f>
        <v>Overdue</v>
      </c>
      <c r="O59" s="72"/>
      <c r="P59" s="12" t="str">
        <f>Analysis!K91</f>
        <v>Website</v>
      </c>
    </row>
    <row r="60" spans="2:16" x14ac:dyDescent="0.25">
      <c r="B60" s="13">
        <f>Analysis!A92</f>
        <v>4</v>
      </c>
      <c r="C60" s="14" t="str">
        <f>Analysis!D92</f>
        <v>L-0017</v>
      </c>
      <c r="D60" s="68" t="str">
        <f>Analysis!E92</f>
        <v>Skyline Construction</v>
      </c>
      <c r="E60" s="68"/>
      <c r="F60" s="68"/>
      <c r="G60" s="73" t="str">
        <f>Analysis!F92</f>
        <v>Fatima Khan</v>
      </c>
      <c r="H60" s="73"/>
      <c r="I60" s="73" t="str">
        <f>Analysis!G92</f>
        <v>Quotation Sent</v>
      </c>
      <c r="J60" s="73"/>
      <c r="K60" s="69">
        <f>Analysis!H92</f>
        <v>225700</v>
      </c>
      <c r="L60" s="69"/>
      <c r="M60" s="13">
        <f>Analysis!I92</f>
        <v>2</v>
      </c>
      <c r="N60" s="73" t="str">
        <f>Analysis!J92</f>
        <v>On Track</v>
      </c>
      <c r="O60" s="73"/>
      <c r="P60" s="14" t="str">
        <f>Analysis!K92</f>
        <v>Phone Call</v>
      </c>
    </row>
    <row r="61" spans="2:16" x14ac:dyDescent="0.25">
      <c r="B61" s="11">
        <f>Analysis!A93</f>
        <v>5</v>
      </c>
      <c r="C61" s="12" t="str">
        <f>Analysis!D93</f>
        <v>L-0022</v>
      </c>
      <c r="D61" s="66" t="str">
        <f>Analysis!E93</f>
        <v>Prime Technical Services</v>
      </c>
      <c r="E61" s="66"/>
      <c r="F61" s="66"/>
      <c r="G61" s="72" t="str">
        <f>Analysis!F93</f>
        <v>Sara Thomas</v>
      </c>
      <c r="H61" s="72"/>
      <c r="I61" s="72" t="str">
        <f>Analysis!G93</f>
        <v>Quotation Sent</v>
      </c>
      <c r="J61" s="72"/>
      <c r="K61" s="67">
        <f>Analysis!H93</f>
        <v>177700</v>
      </c>
      <c r="L61" s="67"/>
      <c r="M61" s="11">
        <f>Analysis!I93</f>
        <v>5</v>
      </c>
      <c r="N61" s="72" t="str">
        <f>Analysis!J93</f>
        <v>Overdue</v>
      </c>
      <c r="O61" s="72"/>
      <c r="P61" s="12" t="str">
        <f>Analysis!K93</f>
        <v>WhatsApp</v>
      </c>
    </row>
    <row r="62" spans="2:16" x14ac:dyDescent="0.25">
      <c r="B62" s="13">
        <f>Analysis!A94</f>
        <v>6</v>
      </c>
      <c r="C62" s="14" t="str">
        <f>Analysis!D94</f>
        <v>L-0225</v>
      </c>
      <c r="D62" s="68" t="str">
        <f>Analysis!E94</f>
        <v>Horizon Industries</v>
      </c>
      <c r="E62" s="68"/>
      <c r="F62" s="68"/>
      <c r="G62" s="73" t="str">
        <f>Analysis!F94</f>
        <v>Priya Nair</v>
      </c>
      <c r="H62" s="73"/>
      <c r="I62" s="73" t="str">
        <f>Analysis!G94</f>
        <v>Negotiation</v>
      </c>
      <c r="J62" s="73"/>
      <c r="K62" s="69">
        <f>Analysis!H94</f>
        <v>174200</v>
      </c>
      <c r="L62" s="69"/>
      <c r="M62" s="13">
        <f>Analysis!I94</f>
        <v>2</v>
      </c>
      <c r="N62" s="73" t="str">
        <f>Analysis!J94</f>
        <v>On Track</v>
      </c>
      <c r="O62" s="73"/>
      <c r="P62" s="14" t="str">
        <f>Analysis!K94</f>
        <v>Email</v>
      </c>
    </row>
    <row r="63" spans="2:16" x14ac:dyDescent="0.25">
      <c r="B63" s="11">
        <f>Analysis!A95</f>
        <v>7</v>
      </c>
      <c r="C63" s="12" t="str">
        <f>Analysis!D95</f>
        <v>L-0286</v>
      </c>
      <c r="D63" s="66" t="str">
        <f>Analysis!E95</f>
        <v>Desert Construction</v>
      </c>
      <c r="E63" s="66"/>
      <c r="F63" s="66"/>
      <c r="G63" s="72" t="str">
        <f>Analysis!F95</f>
        <v>Unassigned</v>
      </c>
      <c r="H63" s="72"/>
      <c r="I63" s="72" t="str">
        <f>Analysis!G95</f>
        <v>New</v>
      </c>
      <c r="J63" s="72"/>
      <c r="K63" s="67">
        <f>Analysis!H95</f>
        <v>163600</v>
      </c>
      <c r="L63" s="67"/>
      <c r="M63" s="11">
        <f>Analysis!I95</f>
        <v>11</v>
      </c>
      <c r="N63" s="72" t="str">
        <f>Analysis!J95</f>
        <v>Unassigned</v>
      </c>
      <c r="O63" s="72"/>
      <c r="P63" s="12" t="str">
        <f>Analysis!K95</f>
        <v>Exhibition</v>
      </c>
    </row>
    <row r="64" spans="2:16" x14ac:dyDescent="0.25">
      <c r="B64" s="13">
        <f>Analysis!A96</f>
        <v>8</v>
      </c>
      <c r="C64" s="14" t="str">
        <f>Analysis!D96</f>
        <v>L-0233</v>
      </c>
      <c r="D64" s="68" t="str">
        <f>Analysis!E96</f>
        <v>Emirates Construction</v>
      </c>
      <c r="E64" s="68"/>
      <c r="F64" s="68"/>
      <c r="G64" s="73" t="str">
        <f>Analysis!F96</f>
        <v>Rahul Menon</v>
      </c>
      <c r="H64" s="73"/>
      <c r="I64" s="73" t="str">
        <f>Analysis!G96</f>
        <v>Contacted</v>
      </c>
      <c r="J64" s="73"/>
      <c r="K64" s="69">
        <f>Analysis!H96</f>
        <v>158200</v>
      </c>
      <c r="L64" s="69"/>
      <c r="M64" s="13">
        <f>Analysis!I96</f>
        <v>25</v>
      </c>
      <c r="N64" s="73" t="str">
        <f>Analysis!J96</f>
        <v>Overdue</v>
      </c>
      <c r="O64" s="73"/>
      <c r="P64" s="14" t="str">
        <f>Analysis!K96</f>
        <v>Email</v>
      </c>
    </row>
    <row r="65" spans="2:16" x14ac:dyDescent="0.25">
      <c r="B65" s="11">
        <f>Analysis!A97</f>
        <v>9</v>
      </c>
      <c r="C65" s="12" t="str">
        <f>Analysis!D97</f>
        <v>L-0011</v>
      </c>
      <c r="D65" s="66" t="str">
        <f>Analysis!E97</f>
        <v>Emirates Industries</v>
      </c>
      <c r="E65" s="66"/>
      <c r="F65" s="66"/>
      <c r="G65" s="72" t="str">
        <f>Analysis!F97</f>
        <v>Sara Thomas</v>
      </c>
      <c r="H65" s="72"/>
      <c r="I65" s="72" t="str">
        <f>Analysis!G97</f>
        <v>Quotation Sent</v>
      </c>
      <c r="J65" s="72"/>
      <c r="K65" s="67">
        <f>Analysis!H97</f>
        <v>153400</v>
      </c>
      <c r="L65" s="67"/>
      <c r="M65" s="11">
        <f>Analysis!I97</f>
        <v>2</v>
      </c>
      <c r="N65" s="72" t="str">
        <f>Analysis!J97</f>
        <v>On Track</v>
      </c>
      <c r="O65" s="72"/>
      <c r="P65" s="12" t="str">
        <f>Analysis!K97</f>
        <v>Walk-in</v>
      </c>
    </row>
    <row r="66" spans="2:16" x14ac:dyDescent="0.25">
      <c r="B66" s="13">
        <f>Analysis!A98</f>
        <v>10</v>
      </c>
      <c r="C66" s="14" t="str">
        <f>Analysis!D98</f>
        <v>L-0229</v>
      </c>
      <c r="D66" s="68" t="str">
        <f>Analysis!E98</f>
        <v>Emirates Construction</v>
      </c>
      <c r="E66" s="68"/>
      <c r="F66" s="68"/>
      <c r="G66" s="73" t="str">
        <f>Analysis!F98</f>
        <v>Priya Nair</v>
      </c>
      <c r="H66" s="73"/>
      <c r="I66" s="73" t="str">
        <f>Analysis!G98</f>
        <v>Quotation Sent</v>
      </c>
      <c r="J66" s="73"/>
      <c r="K66" s="69">
        <f>Analysis!H98</f>
        <v>123800</v>
      </c>
      <c r="L66" s="69"/>
      <c r="M66" s="13">
        <f>Analysis!I98</f>
        <v>3</v>
      </c>
      <c r="N66" s="73" t="str">
        <f>Analysis!J98</f>
        <v>On Track</v>
      </c>
      <c r="O66" s="73"/>
      <c r="P66" s="14" t="str">
        <f>Analysis!K98</f>
        <v>Website</v>
      </c>
    </row>
    <row r="68" spans="2:16" ht="25.5" customHeight="1" x14ac:dyDescent="0.25">
      <c r="B68" s="74" t="s">
        <v>35</v>
      </c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</row>
  </sheetData>
  <mergeCells count="110">
    <mergeCell ref="B68:P68"/>
    <mergeCell ref="D65:F65"/>
    <mergeCell ref="G65:H65"/>
    <mergeCell ref="I65:J65"/>
    <mergeCell ref="K65:L65"/>
    <mergeCell ref="N65:O65"/>
    <mergeCell ref="D66:F66"/>
    <mergeCell ref="G66:H66"/>
    <mergeCell ref="I66:J66"/>
    <mergeCell ref="K66:L66"/>
    <mergeCell ref="N66:O66"/>
    <mergeCell ref="D63:F63"/>
    <mergeCell ref="G63:H63"/>
    <mergeCell ref="I63:J63"/>
    <mergeCell ref="K63:L63"/>
    <mergeCell ref="N63:O63"/>
    <mergeCell ref="D64:F64"/>
    <mergeCell ref="G64:H64"/>
    <mergeCell ref="I64:J64"/>
    <mergeCell ref="K64:L64"/>
    <mergeCell ref="N64:O64"/>
    <mergeCell ref="D61:F61"/>
    <mergeCell ref="G61:H61"/>
    <mergeCell ref="I61:J61"/>
    <mergeCell ref="K61:L61"/>
    <mergeCell ref="N61:O61"/>
    <mergeCell ref="D62:F62"/>
    <mergeCell ref="G62:H62"/>
    <mergeCell ref="I62:J62"/>
    <mergeCell ref="K62:L62"/>
    <mergeCell ref="N62:O62"/>
    <mergeCell ref="D59:F59"/>
    <mergeCell ref="G59:H59"/>
    <mergeCell ref="I59:J59"/>
    <mergeCell ref="K59:L59"/>
    <mergeCell ref="N59:O59"/>
    <mergeCell ref="D60:F60"/>
    <mergeCell ref="G60:H60"/>
    <mergeCell ref="I60:J60"/>
    <mergeCell ref="K60:L60"/>
    <mergeCell ref="N60:O60"/>
    <mergeCell ref="D57:F57"/>
    <mergeCell ref="G57:H57"/>
    <mergeCell ref="I57:J57"/>
    <mergeCell ref="K57:L57"/>
    <mergeCell ref="N57:O57"/>
    <mergeCell ref="D58:F58"/>
    <mergeCell ref="G58:H58"/>
    <mergeCell ref="I58:J58"/>
    <mergeCell ref="K58:L58"/>
    <mergeCell ref="N58:O58"/>
    <mergeCell ref="B51:C51"/>
    <mergeCell ref="I51:J51"/>
    <mergeCell ref="K51:L51"/>
    <mergeCell ref="B52:C52"/>
    <mergeCell ref="I52:J52"/>
    <mergeCell ref="K52:L52"/>
    <mergeCell ref="B55:P55"/>
    <mergeCell ref="D56:F56"/>
    <mergeCell ref="G56:H56"/>
    <mergeCell ref="I56:J56"/>
    <mergeCell ref="K56:L56"/>
    <mergeCell ref="N56:O56"/>
    <mergeCell ref="B48:C48"/>
    <mergeCell ref="I48:J48"/>
    <mergeCell ref="K48:L48"/>
    <mergeCell ref="B49:C49"/>
    <mergeCell ref="I49:J49"/>
    <mergeCell ref="K49:L49"/>
    <mergeCell ref="B50:C50"/>
    <mergeCell ref="I50:J50"/>
    <mergeCell ref="K50:L50"/>
    <mergeCell ref="B45:C45"/>
    <mergeCell ref="I45:J45"/>
    <mergeCell ref="K45:L45"/>
    <mergeCell ref="B46:C46"/>
    <mergeCell ref="I46:J46"/>
    <mergeCell ref="K46:L46"/>
    <mergeCell ref="B47:C47"/>
    <mergeCell ref="I47:J47"/>
    <mergeCell ref="K47:L47"/>
    <mergeCell ref="B9:D9"/>
    <mergeCell ref="E9:G9"/>
    <mergeCell ref="H9:J9"/>
    <mergeCell ref="K9:M9"/>
    <mergeCell ref="N9:P9"/>
    <mergeCell ref="B43:P43"/>
    <mergeCell ref="B44:C44"/>
    <mergeCell ref="I44:J44"/>
    <mergeCell ref="K44:L44"/>
    <mergeCell ref="B6:D6"/>
    <mergeCell ref="E6:G6"/>
    <mergeCell ref="H6:J6"/>
    <mergeCell ref="K6:M6"/>
    <mergeCell ref="N6:P6"/>
    <mergeCell ref="B8:D8"/>
    <mergeCell ref="E8:G8"/>
    <mergeCell ref="H8:J8"/>
    <mergeCell ref="K8:M8"/>
    <mergeCell ref="N8:P8"/>
    <mergeCell ref="B1:P1"/>
    <mergeCell ref="B2:P2"/>
    <mergeCell ref="B3:C3"/>
    <mergeCell ref="D3:F3"/>
    <mergeCell ref="G3:P3"/>
    <mergeCell ref="B5:D5"/>
    <mergeCell ref="E5:G5"/>
    <mergeCell ref="H5:J5"/>
    <mergeCell ref="K5:M5"/>
    <mergeCell ref="N5:P5"/>
  </mergeCells>
  <conditionalFormatting sqref="N45:N52">
    <cfRule type="cellIs" dxfId="9" priority="2" operator="greaterThan">
      <formula>0</formula>
    </cfRule>
  </conditionalFormatting>
  <conditionalFormatting sqref="O45:O52">
    <cfRule type="cellIs" dxfId="8" priority="3" operator="greaterThan">
      <formula>0</formula>
    </cfRule>
  </conditionalFormatting>
  <conditionalFormatting sqref="H45:H51">
    <cfRule type="colorScale" priority="4">
      <colorScale>
        <cfvo type="min"/>
        <cfvo type="max"/>
        <color rgb="FFF8CBAD"/>
        <color rgb="FFC6E0B4"/>
      </colorScale>
    </cfRule>
  </conditionalFormatting>
  <conditionalFormatting sqref="N57:N66">
    <cfRule type="expression" dxfId="7" priority="5">
      <formula>$N57="Overdue"</formula>
    </cfRule>
    <cfRule type="expression" dxfId="6" priority="6">
      <formula>$N57="Inactive"</formula>
    </cfRule>
    <cfRule type="expression" dxfId="5" priority="7">
      <formula>$N57="Unassigned"</formula>
    </cfRule>
    <cfRule type="expression" dxfId="4" priority="8">
      <formula>$N57="On Track"</formula>
    </cfRule>
  </conditionalFormatting>
  <pageMargins left="0.75" right="0.75" top="1" bottom="1" header="0.511811023622047" footer="0.511811023622047"/>
  <pageSetup orientation="landscape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Settings!$G$9:$G$16</xm:f>
          </x14:formula1>
          <x14:formula2>
            <xm:f>0</xm:f>
          </x14:formula2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showGridLines="0" topLeftCell="A79" zoomScaleNormal="100" workbookViewId="0">
      <selection activeCell="B3" sqref="B3"/>
    </sheetView>
  </sheetViews>
  <sheetFormatPr defaultColWidth="8.7109375" defaultRowHeight="15" x14ac:dyDescent="0.25"/>
  <cols>
    <col min="1" max="1" width="61.85546875" bestFit="1" customWidth="1"/>
    <col min="2" max="2" width="13.28515625" bestFit="1" customWidth="1"/>
    <col min="3" max="3" width="14" customWidth="1"/>
    <col min="4" max="4" width="13" customWidth="1"/>
    <col min="5" max="5" width="22" customWidth="1"/>
    <col min="6" max="6" width="18" customWidth="1"/>
    <col min="7" max="8" width="16" customWidth="1"/>
    <col min="9" max="9" width="14" customWidth="1"/>
    <col min="10" max="11" width="12" customWidth="1"/>
    <col min="12" max="12" width="14" customWidth="1"/>
  </cols>
  <sheetData>
    <row r="1" spans="1:2" ht="18" x14ac:dyDescent="0.25">
      <c r="A1" s="15" t="s">
        <v>557</v>
      </c>
    </row>
    <row r="2" spans="1:2" x14ac:dyDescent="0.25">
      <c r="A2" s="16" t="s">
        <v>36</v>
      </c>
      <c r="B2" s="17" t="str">
        <f>IF(Dashboard!$D$3="All","*",Dashboard!$D$3)</f>
        <v>*</v>
      </c>
    </row>
    <row r="4" spans="1:2" x14ac:dyDescent="0.25">
      <c r="A4" s="18" t="s">
        <v>37</v>
      </c>
    </row>
    <row r="5" spans="1:2" x14ac:dyDescent="0.25">
      <c r="A5" s="19" t="s">
        <v>4</v>
      </c>
      <c r="B5" s="20">
        <f>COUNTIFS(Lead_Data!$F$2:$F$600,$B$2)</f>
        <v>320</v>
      </c>
    </row>
    <row r="6" spans="1:2" x14ac:dyDescent="0.25">
      <c r="A6" s="19" t="s">
        <v>5</v>
      </c>
      <c r="B6" s="20">
        <f>COUNTIFS(Lead_Data!$F$2:$F$600,$B$2,Lead_Data!$G$2:$G$600,"Won")</f>
        <v>74</v>
      </c>
    </row>
    <row r="7" spans="1:2" x14ac:dyDescent="0.25">
      <c r="A7" s="19" t="s">
        <v>6</v>
      </c>
      <c r="B7" s="20">
        <f>COUNTIFS(Lead_Data!$F$2:$F$600,$B$2,Lead_Data!$G$2:$G$600,"Lost")</f>
        <v>82</v>
      </c>
    </row>
    <row r="8" spans="1:2" x14ac:dyDescent="0.25">
      <c r="A8" s="19" t="s">
        <v>7</v>
      </c>
      <c r="B8" s="20">
        <f>COUNTIFS(Lead_Data!$F$2:$F$600,$B$2,Lead_Data!$O$2:$O$600,"Open")</f>
        <v>164</v>
      </c>
    </row>
    <row r="9" spans="1:2" x14ac:dyDescent="0.25">
      <c r="A9" s="19" t="s">
        <v>8</v>
      </c>
      <c r="B9" s="21">
        <f>IFERROR(B6/B5,0)</f>
        <v>0.23125000000000001</v>
      </c>
    </row>
    <row r="10" spans="1:2" x14ac:dyDescent="0.25">
      <c r="A10" s="19" t="s">
        <v>38</v>
      </c>
      <c r="B10" s="20">
        <f>SUMIFS(Lead_Data!$H$2:$H$600,Lead_Data!$F$2:$F$600,$B$2,Lead_Data!$O$2:$O$600,"Open")</f>
        <v>7671200</v>
      </c>
    </row>
    <row r="11" spans="1:2" x14ac:dyDescent="0.25">
      <c r="A11" s="19" t="s">
        <v>10</v>
      </c>
      <c r="B11" s="20">
        <f>SUMIFS(Lead_Data!$H$2:$H$600,Lead_Data!$F$2:$F$600,$B$2,Lead_Data!$G$2:$G$600,"Won")</f>
        <v>2906100</v>
      </c>
    </row>
    <row r="12" spans="1:2" x14ac:dyDescent="0.25">
      <c r="A12" s="19" t="s">
        <v>39</v>
      </c>
      <c r="B12" s="22">
        <f>IFERROR(AVERAGEIFS(Lead_Data!$N$2:$N$600,Lead_Data!$F$2:$F$600,$B$2),0)</f>
        <v>8.17669902912621</v>
      </c>
    </row>
    <row r="13" spans="1:2" x14ac:dyDescent="0.25">
      <c r="A13" s="19" t="s">
        <v>12</v>
      </c>
      <c r="B13" s="21">
        <f>IFERROR(COUNTIFS(Lead_Data!$F$2:$F$600,$B$2,Lead_Data!$R$2:$R$600,"On Track")/B8,0)</f>
        <v>0.53658536585365857</v>
      </c>
    </row>
    <row r="14" spans="1:2" x14ac:dyDescent="0.25">
      <c r="A14" s="19" t="s">
        <v>40</v>
      </c>
      <c r="B14" s="20">
        <f>COUNTIFS(Lead_Data!$F$2:$F$600,$B$2,Lead_Data!$R$2:$R$600,"Overdue")</f>
        <v>66</v>
      </c>
    </row>
    <row r="15" spans="1:2" x14ac:dyDescent="0.25">
      <c r="A15" s="19" t="s">
        <v>41</v>
      </c>
      <c r="B15" s="20">
        <f>COUNTIFS(Lead_Data!$F$2:$F$600,$B$2,Lead_Data!$R$2:$R$600,"Inactive")</f>
        <v>3</v>
      </c>
    </row>
    <row r="16" spans="1:2" x14ac:dyDescent="0.25">
      <c r="A16" s="19" t="s">
        <v>42</v>
      </c>
      <c r="B16" s="20">
        <f>COUNTIFS(Lead_Data!$F$2:$F$600,$B$2,Lead_Data!$R$2:$R$600,"Unassigned")</f>
        <v>7</v>
      </c>
    </row>
    <row r="17" spans="1:5" x14ac:dyDescent="0.25">
      <c r="A17" s="19" t="s">
        <v>43</v>
      </c>
      <c r="B17" s="20">
        <f>B14+B15+B16</f>
        <v>76</v>
      </c>
    </row>
    <row r="20" spans="1:5" x14ac:dyDescent="0.25">
      <c r="A20" s="18" t="s">
        <v>44</v>
      </c>
    </row>
    <row r="21" spans="1:5" x14ac:dyDescent="0.25">
      <c r="A21" s="23" t="s">
        <v>30</v>
      </c>
      <c r="B21" s="23" t="s">
        <v>16</v>
      </c>
      <c r="C21" s="23" t="s">
        <v>31</v>
      </c>
    </row>
    <row r="22" spans="1:5" x14ac:dyDescent="0.25">
      <c r="A22" s="19" t="s">
        <v>45</v>
      </c>
      <c r="B22" s="20">
        <f>COUNTIFS(Lead_Data!$F$2:$F$600,$B$2,Lead_Data!$G$2:$G$600,A22)</f>
        <v>11</v>
      </c>
      <c r="C22" s="20">
        <f>SUMIFS(Lead_Data!$H$2:$H$600,Lead_Data!$F$2:$F$600,$B$2,Lead_Data!$G$2:$G$600,A22)</f>
        <v>445200</v>
      </c>
    </row>
    <row r="23" spans="1:5" x14ac:dyDescent="0.25">
      <c r="A23" s="19" t="s">
        <v>46</v>
      </c>
      <c r="B23" s="20">
        <f>COUNTIFS(Lead_Data!$F$2:$F$600,$B$2,Lead_Data!$G$2:$G$600,A23)</f>
        <v>49</v>
      </c>
      <c r="C23" s="20">
        <f>SUMIFS(Lead_Data!$H$2:$H$600,Lead_Data!$F$2:$F$600,$B$2,Lead_Data!$G$2:$G$600,A23)</f>
        <v>1899700</v>
      </c>
    </row>
    <row r="24" spans="1:5" x14ac:dyDescent="0.25">
      <c r="A24" s="19" t="s">
        <v>47</v>
      </c>
      <c r="B24" s="20">
        <f>COUNTIFS(Lead_Data!$F$2:$F$600,$B$2,Lead_Data!$G$2:$G$600,A24)</f>
        <v>64</v>
      </c>
      <c r="C24" s="20">
        <f>SUMIFS(Lead_Data!$H$2:$H$600,Lead_Data!$F$2:$F$600,$B$2,Lead_Data!$G$2:$G$600,A24)</f>
        <v>2788100</v>
      </c>
    </row>
    <row r="25" spans="1:5" x14ac:dyDescent="0.25">
      <c r="A25" s="19" t="s">
        <v>48</v>
      </c>
      <c r="B25" s="20">
        <f>COUNTIFS(Lead_Data!$F$2:$F$600,$B$2,Lead_Data!$G$2:$G$600,A25)</f>
        <v>40</v>
      </c>
      <c r="C25" s="20">
        <f>SUMIFS(Lead_Data!$H$2:$H$600,Lead_Data!$F$2:$F$600,$B$2,Lead_Data!$G$2:$G$600,A25)</f>
        <v>2538200</v>
      </c>
    </row>
    <row r="26" spans="1:5" x14ac:dyDescent="0.25">
      <c r="A26" s="19" t="s">
        <v>17</v>
      </c>
      <c r="B26" s="20">
        <f>COUNTIFS(Lead_Data!$F$2:$F$600,$B$2,Lead_Data!$G$2:$G$600,A26)</f>
        <v>74</v>
      </c>
      <c r="C26" s="20">
        <f>SUMIFS(Lead_Data!$H$2:$H$600,Lead_Data!$F$2:$F$600,$B$2,Lead_Data!$G$2:$G$600,A26)</f>
        <v>2906100</v>
      </c>
    </row>
    <row r="27" spans="1:5" x14ac:dyDescent="0.25">
      <c r="A27" s="19" t="s">
        <v>18</v>
      </c>
      <c r="B27" s="20">
        <f>COUNTIFS(Lead_Data!$F$2:$F$600,$B$2,Lead_Data!$G$2:$G$600,A27)</f>
        <v>82</v>
      </c>
      <c r="C27" s="20">
        <f>SUMIFS(Lead_Data!$H$2:$H$600,Lead_Data!$F$2:$F$600,$B$2,Lead_Data!$G$2:$G$600,A27)</f>
        <v>3766800</v>
      </c>
    </row>
    <row r="30" spans="1:5" x14ac:dyDescent="0.25">
      <c r="A30" s="18" t="s">
        <v>49</v>
      </c>
    </row>
    <row r="31" spans="1:5" ht="26.25" x14ac:dyDescent="0.25">
      <c r="A31" s="23" t="s">
        <v>50</v>
      </c>
      <c r="B31" s="23" t="s">
        <v>51</v>
      </c>
      <c r="C31" s="23" t="s">
        <v>52</v>
      </c>
      <c r="D31" s="23" t="s">
        <v>17</v>
      </c>
      <c r="E31" s="23" t="s">
        <v>18</v>
      </c>
    </row>
    <row r="32" spans="1:5" x14ac:dyDescent="0.25">
      <c r="A32" s="24">
        <f>DATE(2026,6,1)</f>
        <v>46174</v>
      </c>
      <c r="B32" s="19" t="str">
        <f>TEXT(A32,"mmm-yy")</f>
        <v>Jun-26</v>
      </c>
      <c r="C32" s="20">
        <f>COUNTIFS(Lead_Data!$F$2:$F$600,$B$2,Lead_Data!$T$2:$T$600,$A32)</f>
        <v>62</v>
      </c>
      <c r="D32" s="20">
        <f>COUNTIFS(Lead_Data!$F$2:$F$600,$B$2,Lead_Data!$T$2:$T$600,$A32,Lead_Data!$G$2:$G$600,"Won")</f>
        <v>25</v>
      </c>
      <c r="E32" s="20">
        <f>COUNTIFS(Lead_Data!$F$2:$F$600,$B$2,Lead_Data!$T$2:$T$600,$A32,Lead_Data!$G$2:$G$600,"Lost")</f>
        <v>22</v>
      </c>
    </row>
    <row r="33" spans="1:5" x14ac:dyDescent="0.25">
      <c r="A33" s="24">
        <f>EDATE(A32,1)</f>
        <v>46204</v>
      </c>
      <c r="B33" s="19" t="str">
        <f>TEXT(A33,"mmm-yy")</f>
        <v>Jul-26</v>
      </c>
      <c r="C33" s="20">
        <f>COUNTIFS(Lead_Data!$F$2:$F$600,$B$2,Lead_Data!$T$2:$T$600,$A33)</f>
        <v>55</v>
      </c>
      <c r="D33" s="20">
        <f>COUNTIFS(Lead_Data!$F$2:$F$600,$B$2,Lead_Data!$T$2:$T$600,$A33,Lead_Data!$G$2:$G$600,"Won")</f>
        <v>17</v>
      </c>
      <c r="E33" s="20">
        <f>COUNTIFS(Lead_Data!$F$2:$F$600,$B$2,Lead_Data!$T$2:$T$600,$A33,Lead_Data!$G$2:$G$600,"Lost")</f>
        <v>21</v>
      </c>
    </row>
    <row r="34" spans="1:5" x14ac:dyDescent="0.25">
      <c r="A34" s="24">
        <f>EDATE(A33,1)</f>
        <v>46235</v>
      </c>
      <c r="B34" s="19" t="str">
        <f>TEXT(A34,"mmm-yy")</f>
        <v>Aug-26</v>
      </c>
      <c r="C34" s="20">
        <f>COUNTIFS(Lead_Data!$F$2:$F$600,$B$2,Lead_Data!$T$2:$T$600,$A34)</f>
        <v>67</v>
      </c>
      <c r="D34" s="20">
        <f>COUNTIFS(Lead_Data!$F$2:$F$600,$B$2,Lead_Data!$T$2:$T$600,$A34,Lead_Data!$G$2:$G$600,"Won")</f>
        <v>15</v>
      </c>
      <c r="E34" s="20">
        <f>COUNTIFS(Lead_Data!$F$2:$F$600,$B$2,Lead_Data!$T$2:$T$600,$A34,Lead_Data!$G$2:$G$600,"Lost")</f>
        <v>20</v>
      </c>
    </row>
    <row r="35" spans="1:5" x14ac:dyDescent="0.25">
      <c r="A35" s="24">
        <f>EDATE(A34,1)</f>
        <v>46266</v>
      </c>
      <c r="B35" s="19" t="str">
        <f>TEXT(A35,"mmm-yy")</f>
        <v>Sep-26</v>
      </c>
      <c r="C35" s="20">
        <f>COUNTIFS(Lead_Data!$F$2:$F$600,$B$2,Lead_Data!$T$2:$T$600,$A35)</f>
        <v>79</v>
      </c>
      <c r="D35" s="20">
        <f>COUNTIFS(Lead_Data!$F$2:$F$600,$B$2,Lead_Data!$T$2:$T$600,$A35,Lead_Data!$G$2:$G$600,"Won")</f>
        <v>13</v>
      </c>
      <c r="E35" s="20">
        <f>COUNTIFS(Lead_Data!$F$2:$F$600,$B$2,Lead_Data!$T$2:$T$600,$A35,Lead_Data!$G$2:$G$600,"Lost")</f>
        <v>15</v>
      </c>
    </row>
    <row r="36" spans="1:5" x14ac:dyDescent="0.25">
      <c r="A36" s="24">
        <f>EDATE(A35,1)</f>
        <v>46296</v>
      </c>
      <c r="B36" s="19" t="str">
        <f>TEXT(A36,"mmm-yy")</f>
        <v>Oct-26</v>
      </c>
      <c r="C36" s="20">
        <f>COUNTIFS(Lead_Data!$F$2:$F$600,$B$2,Lead_Data!$T$2:$T$600,$A36)</f>
        <v>57</v>
      </c>
      <c r="D36" s="20">
        <f>COUNTIFS(Lead_Data!$F$2:$F$600,$B$2,Lead_Data!$T$2:$T$600,$A36,Lead_Data!$G$2:$G$600,"Won")</f>
        <v>4</v>
      </c>
      <c r="E36" s="20">
        <f>COUNTIFS(Lead_Data!$F$2:$F$600,$B$2,Lead_Data!$T$2:$T$600,$A36,Lead_Data!$G$2:$G$600,"Lost")</f>
        <v>4</v>
      </c>
    </row>
    <row r="40" spans="1:5" x14ac:dyDescent="0.25">
      <c r="A40" s="18" t="s">
        <v>53</v>
      </c>
    </row>
    <row r="41" spans="1:5" x14ac:dyDescent="0.25">
      <c r="A41" s="23" t="s">
        <v>54</v>
      </c>
      <c r="B41" s="23" t="s">
        <v>7</v>
      </c>
      <c r="C41" s="23" t="s">
        <v>31</v>
      </c>
    </row>
    <row r="42" spans="1:5" x14ac:dyDescent="0.25">
      <c r="A42" s="19" t="s">
        <v>55</v>
      </c>
      <c r="B42" s="20">
        <f>COUNTIFS(Lead_Data!$F$2:$F$600,$B$2,Lead_Data!$S$2:$S$600,A42)</f>
        <v>26</v>
      </c>
      <c r="C42" s="20">
        <f>SUMIFS(Lead_Data!$H$2:$H$600,Lead_Data!$F$2:$F$600,$B$2,Lead_Data!$S$2:$S$600,A42)</f>
        <v>1071100</v>
      </c>
    </row>
    <row r="43" spans="1:5" x14ac:dyDescent="0.25">
      <c r="A43" s="19" t="s">
        <v>56</v>
      </c>
      <c r="B43" s="20">
        <f>COUNTIFS(Lead_Data!$F$2:$F$600,$B$2,Lead_Data!$S$2:$S$600,A43)</f>
        <v>15</v>
      </c>
      <c r="C43" s="20">
        <f>SUMIFS(Lead_Data!$H$2:$H$600,Lead_Data!$F$2:$F$600,$B$2,Lead_Data!$S$2:$S$600,A43)</f>
        <v>612100</v>
      </c>
    </row>
    <row r="44" spans="1:5" x14ac:dyDescent="0.25">
      <c r="A44" s="19" t="s">
        <v>57</v>
      </c>
      <c r="B44" s="20">
        <f>COUNTIFS(Lead_Data!$F$2:$F$600,$B$2,Lead_Data!$S$2:$S$600,A44)</f>
        <v>41</v>
      </c>
      <c r="C44" s="20">
        <f>SUMIFS(Lead_Data!$H$2:$H$600,Lead_Data!$F$2:$F$600,$B$2,Lead_Data!$S$2:$S$600,A44)</f>
        <v>1832200</v>
      </c>
    </row>
    <row r="45" spans="1:5" x14ac:dyDescent="0.25">
      <c r="A45" s="19" t="s">
        <v>58</v>
      </c>
      <c r="B45" s="20">
        <f>COUNTIFS(Lead_Data!$F$2:$F$600,$B$2,Lead_Data!$S$2:$S$600,A45)</f>
        <v>35</v>
      </c>
      <c r="C45" s="20">
        <f>SUMIFS(Lead_Data!$H$2:$H$600,Lead_Data!$F$2:$F$600,$B$2,Lead_Data!$S$2:$S$600,A45)</f>
        <v>1606100</v>
      </c>
    </row>
    <row r="46" spans="1:5" x14ac:dyDescent="0.25">
      <c r="A46" s="19" t="s">
        <v>59</v>
      </c>
      <c r="B46" s="20">
        <f>COUNTIFS(Lead_Data!$F$2:$F$600,$B$2,Lead_Data!$S$2:$S$600,A46)</f>
        <v>47</v>
      </c>
      <c r="C46" s="20">
        <f>SUMIFS(Lead_Data!$H$2:$H$600,Lead_Data!$F$2:$F$600,$B$2,Lead_Data!$S$2:$S$600,A46)</f>
        <v>2549700</v>
      </c>
    </row>
    <row r="50" spans="1:5" x14ac:dyDescent="0.25">
      <c r="A50" s="18" t="s">
        <v>60</v>
      </c>
    </row>
    <row r="51" spans="1:5" ht="26.25" x14ac:dyDescent="0.25">
      <c r="A51" s="23" t="s">
        <v>34</v>
      </c>
      <c r="B51" s="23" t="s">
        <v>16</v>
      </c>
      <c r="C51" s="23" t="s">
        <v>17</v>
      </c>
      <c r="D51" s="23" t="s">
        <v>61</v>
      </c>
      <c r="E51" s="23" t="s">
        <v>10</v>
      </c>
    </row>
    <row r="52" spans="1:5" x14ac:dyDescent="0.25">
      <c r="A52" s="19" t="s">
        <v>62</v>
      </c>
      <c r="B52" s="20">
        <f>COUNTIFS(Lead_Data!$F$2:$F$600,$B$2,Lead_Data!$C$2:$C$600,A52)</f>
        <v>48</v>
      </c>
      <c r="C52" s="20">
        <f>COUNTIFS(Lead_Data!$F$2:$F$600,$B$2,Lead_Data!$C$2:$C$600,A52,Lead_Data!$G$2:$G$600,"Won")</f>
        <v>11</v>
      </c>
      <c r="D52" s="21">
        <f t="shared" ref="D52:D59" si="0">IFERROR(C52/B52,0)</f>
        <v>0.22916666666666666</v>
      </c>
      <c r="E52" s="20">
        <f>SUMIFS(Lead_Data!$H$2:$H$600,Lead_Data!$F$2:$F$600,$B$2,Lead_Data!$C$2:$C$600,A52,Lead_Data!$G$2:$G$600,"Won")</f>
        <v>567400</v>
      </c>
    </row>
    <row r="53" spans="1:5" x14ac:dyDescent="0.25">
      <c r="A53" s="19" t="s">
        <v>63</v>
      </c>
      <c r="B53" s="20">
        <f>COUNTIFS(Lead_Data!$F$2:$F$600,$B$2,Lead_Data!$C$2:$C$600,A53)</f>
        <v>78</v>
      </c>
      <c r="C53" s="20">
        <f>COUNTIFS(Lead_Data!$F$2:$F$600,$B$2,Lead_Data!$C$2:$C$600,A53,Lead_Data!$G$2:$G$600,"Won")</f>
        <v>20</v>
      </c>
      <c r="D53" s="21">
        <f t="shared" si="0"/>
        <v>0.25641025641025639</v>
      </c>
      <c r="E53" s="20">
        <f>SUMIFS(Lead_Data!$H$2:$H$600,Lead_Data!$F$2:$F$600,$B$2,Lead_Data!$C$2:$C$600,A53,Lead_Data!$G$2:$G$600,"Won")</f>
        <v>736900</v>
      </c>
    </row>
    <row r="54" spans="1:5" x14ac:dyDescent="0.25">
      <c r="A54" s="19" t="s">
        <v>64</v>
      </c>
      <c r="B54" s="20">
        <f>COUNTIFS(Lead_Data!$F$2:$F$600,$B$2,Lead_Data!$C$2:$C$600,A54)</f>
        <v>60</v>
      </c>
      <c r="C54" s="20">
        <f>COUNTIFS(Lead_Data!$F$2:$F$600,$B$2,Lead_Data!$C$2:$C$600,A54,Lead_Data!$G$2:$G$600,"Won")</f>
        <v>14</v>
      </c>
      <c r="D54" s="21">
        <f t="shared" si="0"/>
        <v>0.23333333333333334</v>
      </c>
      <c r="E54" s="20">
        <f>SUMIFS(Lead_Data!$H$2:$H$600,Lead_Data!$F$2:$F$600,$B$2,Lead_Data!$C$2:$C$600,A54,Lead_Data!$G$2:$G$600,"Won")</f>
        <v>395900</v>
      </c>
    </row>
    <row r="55" spans="1:5" x14ac:dyDescent="0.25">
      <c r="A55" s="19" t="s">
        <v>65</v>
      </c>
      <c r="B55" s="20">
        <f>COUNTIFS(Lead_Data!$F$2:$F$600,$B$2,Lead_Data!$C$2:$C$600,A55)</f>
        <v>25</v>
      </c>
      <c r="C55" s="20">
        <f>COUNTIFS(Lead_Data!$F$2:$F$600,$B$2,Lead_Data!$C$2:$C$600,A55,Lead_Data!$G$2:$G$600,"Won")</f>
        <v>4</v>
      </c>
      <c r="D55" s="21">
        <f t="shared" si="0"/>
        <v>0.16</v>
      </c>
      <c r="E55" s="20">
        <f>SUMIFS(Lead_Data!$H$2:$H$600,Lead_Data!$F$2:$F$600,$B$2,Lead_Data!$C$2:$C$600,A55,Lead_Data!$G$2:$G$600,"Won")</f>
        <v>267200</v>
      </c>
    </row>
    <row r="56" spans="1:5" x14ac:dyDescent="0.25">
      <c r="A56" s="19" t="s">
        <v>66</v>
      </c>
      <c r="B56" s="20">
        <f>COUNTIFS(Lead_Data!$F$2:$F$600,$B$2,Lead_Data!$C$2:$C$600,A56)</f>
        <v>42</v>
      </c>
      <c r="C56" s="20">
        <f>COUNTIFS(Lead_Data!$F$2:$F$600,$B$2,Lead_Data!$C$2:$C$600,A56,Lead_Data!$G$2:$G$600,"Won")</f>
        <v>7</v>
      </c>
      <c r="D56" s="21">
        <f t="shared" si="0"/>
        <v>0.16666666666666666</v>
      </c>
      <c r="E56" s="20">
        <f>SUMIFS(Lead_Data!$H$2:$H$600,Lead_Data!$F$2:$F$600,$B$2,Lead_Data!$C$2:$C$600,A56,Lead_Data!$G$2:$G$600,"Won")</f>
        <v>281800</v>
      </c>
    </row>
    <row r="57" spans="1:5" x14ac:dyDescent="0.25">
      <c r="A57" s="19" t="s">
        <v>67</v>
      </c>
      <c r="B57" s="20">
        <f>COUNTIFS(Lead_Data!$F$2:$F$600,$B$2,Lead_Data!$C$2:$C$600,A57)</f>
        <v>17</v>
      </c>
      <c r="C57" s="20">
        <f>COUNTIFS(Lead_Data!$F$2:$F$600,$B$2,Lead_Data!$C$2:$C$600,A57,Lead_Data!$G$2:$G$600,"Won")</f>
        <v>4</v>
      </c>
      <c r="D57" s="21">
        <f t="shared" si="0"/>
        <v>0.23529411764705882</v>
      </c>
      <c r="E57" s="20">
        <f>SUMIFS(Lead_Data!$H$2:$H$600,Lead_Data!$F$2:$F$600,$B$2,Lead_Data!$C$2:$C$600,A57,Lead_Data!$G$2:$G$600,"Won")</f>
        <v>167300</v>
      </c>
    </row>
    <row r="58" spans="1:5" x14ac:dyDescent="0.25">
      <c r="A58" s="19" t="s">
        <v>68</v>
      </c>
      <c r="B58" s="20">
        <f>COUNTIFS(Lead_Data!$F$2:$F$600,$B$2,Lead_Data!$C$2:$C$600,A58)</f>
        <v>25</v>
      </c>
      <c r="C58" s="20">
        <f>COUNTIFS(Lead_Data!$F$2:$F$600,$B$2,Lead_Data!$C$2:$C$600,A58,Lead_Data!$G$2:$G$600,"Won")</f>
        <v>6</v>
      </c>
      <c r="D58" s="21">
        <f t="shared" si="0"/>
        <v>0.24</v>
      </c>
      <c r="E58" s="20">
        <f>SUMIFS(Lead_Data!$H$2:$H$600,Lead_Data!$F$2:$F$600,$B$2,Lead_Data!$C$2:$C$600,A58,Lead_Data!$G$2:$G$600,"Won")</f>
        <v>125800</v>
      </c>
    </row>
    <row r="59" spans="1:5" x14ac:dyDescent="0.25">
      <c r="A59" s="19" t="s">
        <v>69</v>
      </c>
      <c r="B59" s="20">
        <f>COUNTIFS(Lead_Data!$F$2:$F$600,$B$2,Lead_Data!$C$2:$C$600,A59)</f>
        <v>25</v>
      </c>
      <c r="C59" s="20">
        <f>COUNTIFS(Lead_Data!$F$2:$F$600,$B$2,Lead_Data!$C$2:$C$600,A59,Lead_Data!$G$2:$G$600,"Won")</f>
        <v>8</v>
      </c>
      <c r="D59" s="21">
        <f t="shared" si="0"/>
        <v>0.32</v>
      </c>
      <c r="E59" s="20">
        <f>SUMIFS(Lead_Data!$H$2:$H$600,Lead_Data!$F$2:$F$600,$B$2,Lead_Data!$C$2:$C$600,A59,Lead_Data!$G$2:$G$600,"Won")</f>
        <v>363800</v>
      </c>
    </row>
    <row r="63" spans="1:5" x14ac:dyDescent="0.25">
      <c r="A63" s="18" t="s">
        <v>70</v>
      </c>
    </row>
    <row r="64" spans="1:5" x14ac:dyDescent="0.25">
      <c r="A64" s="23" t="s">
        <v>71</v>
      </c>
      <c r="B64" s="23" t="s">
        <v>6</v>
      </c>
      <c r="C64" s="23" t="s">
        <v>72</v>
      </c>
    </row>
    <row r="65" spans="1:12" x14ac:dyDescent="0.25">
      <c r="A65" s="19" t="s">
        <v>73</v>
      </c>
      <c r="B65" s="20">
        <f>COUNTIFS(Lead_Data!$F$2:$F$600,$B$2,Lead_Data!$M$2:$M$600,A65)</f>
        <v>25</v>
      </c>
      <c r="C65" s="21">
        <f t="shared" ref="C65:C70" si="1">IFERROR(B65/SUM($B$65:$B$70),0)</f>
        <v>0.3048780487804878</v>
      </c>
    </row>
    <row r="66" spans="1:12" x14ac:dyDescent="0.25">
      <c r="A66" s="19" t="s">
        <v>74</v>
      </c>
      <c r="B66" s="20">
        <f>COUNTIFS(Lead_Data!$F$2:$F$600,$B$2,Lead_Data!$M$2:$M$600,A66)</f>
        <v>15</v>
      </c>
      <c r="C66" s="21">
        <f t="shared" si="1"/>
        <v>0.18292682926829268</v>
      </c>
    </row>
    <row r="67" spans="1:12" x14ac:dyDescent="0.25">
      <c r="A67" s="19" t="s">
        <v>75</v>
      </c>
      <c r="B67" s="20">
        <f>COUNTIFS(Lead_Data!$F$2:$F$600,$B$2,Lead_Data!$M$2:$M$600,A67)</f>
        <v>25</v>
      </c>
      <c r="C67" s="21">
        <f t="shared" si="1"/>
        <v>0.3048780487804878</v>
      </c>
    </row>
    <row r="68" spans="1:12" x14ac:dyDescent="0.25">
      <c r="A68" s="19" t="s">
        <v>76</v>
      </c>
      <c r="B68" s="20">
        <f>COUNTIFS(Lead_Data!$F$2:$F$600,$B$2,Lead_Data!$M$2:$M$600,A68)</f>
        <v>7</v>
      </c>
      <c r="C68" s="21">
        <f t="shared" si="1"/>
        <v>8.5365853658536592E-2</v>
      </c>
    </row>
    <row r="69" spans="1:12" x14ac:dyDescent="0.25">
      <c r="A69" s="19" t="s">
        <v>77</v>
      </c>
      <c r="B69" s="20">
        <f>COUNTIFS(Lead_Data!$F$2:$F$600,$B$2,Lead_Data!$M$2:$M$600,A69)</f>
        <v>4</v>
      </c>
      <c r="C69" s="21">
        <f t="shared" si="1"/>
        <v>4.878048780487805E-2</v>
      </c>
    </row>
    <row r="70" spans="1:12" x14ac:dyDescent="0.25">
      <c r="A70" s="19" t="s">
        <v>78</v>
      </c>
      <c r="B70" s="20">
        <f>COUNTIFS(Lead_Data!$F$2:$F$600,$B$2,Lead_Data!$M$2:$M$600,A70)</f>
        <v>6</v>
      </c>
      <c r="C70" s="21">
        <f t="shared" si="1"/>
        <v>7.3170731707317069E-2</v>
      </c>
    </row>
    <row r="74" spans="1:12" x14ac:dyDescent="0.25">
      <c r="A74" s="18" t="s">
        <v>79</v>
      </c>
    </row>
    <row r="75" spans="1:12" ht="26.25" x14ac:dyDescent="0.25">
      <c r="A75" s="23" t="s">
        <v>15</v>
      </c>
      <c r="B75" s="23" t="s">
        <v>16</v>
      </c>
      <c r="C75" s="23" t="s">
        <v>17</v>
      </c>
      <c r="D75" s="23" t="s">
        <v>18</v>
      </c>
      <c r="E75" s="23" t="s">
        <v>19</v>
      </c>
      <c r="F75" s="23" t="s">
        <v>61</v>
      </c>
      <c r="G75" s="23" t="s">
        <v>10</v>
      </c>
      <c r="H75" s="23" t="s">
        <v>21</v>
      </c>
      <c r="I75" s="23" t="s">
        <v>11</v>
      </c>
      <c r="J75" s="23" t="s">
        <v>23</v>
      </c>
      <c r="K75" s="23" t="s">
        <v>24</v>
      </c>
      <c r="L75" s="23" t="s">
        <v>12</v>
      </c>
    </row>
    <row r="76" spans="1:12" x14ac:dyDescent="0.25">
      <c r="A76" s="19" t="s">
        <v>80</v>
      </c>
      <c r="B76" s="20">
        <f>COUNTIFS(Lead_Data!$F$2:$F$600,$A76)</f>
        <v>53</v>
      </c>
      <c r="C76" s="20">
        <f>COUNTIFS(Lead_Data!$F$2:$F$600,$A76,Lead_Data!$G$2:$G$600,"Won")</f>
        <v>14</v>
      </c>
      <c r="D76" s="20">
        <f>COUNTIFS(Lead_Data!$F$2:$F$600,$A76,Lead_Data!$G$2:$G$600,"Lost")</f>
        <v>17</v>
      </c>
      <c r="E76" s="20">
        <f>COUNTIFS(Lead_Data!$F$2:$F$600,$A76,Lead_Data!$O$2:$O$600,"Open")</f>
        <v>22</v>
      </c>
      <c r="F76" s="21">
        <f t="shared" ref="F76:F83" si="2">IFERROR(C76/B76,0)</f>
        <v>0.26415094339622641</v>
      </c>
      <c r="G76" s="20">
        <f>SUMIFS(Lead_Data!$H$2:$H$600,Lead_Data!$F$2:$F$600,$A76,Lead_Data!$G$2:$G$600,"Won")</f>
        <v>345800</v>
      </c>
      <c r="H76" s="20">
        <f>SUMIFS(Lead_Data!$H$2:$H$600,Lead_Data!$F$2:$F$600,$A76,Lead_Data!$O$2:$O$600,"Open")</f>
        <v>900100</v>
      </c>
      <c r="I76" s="22">
        <f>IFERROR(AVERAGEIFS(Lead_Data!$N$2:$N$600,Lead_Data!$F$2:$F$600,$A76),0)</f>
        <v>6.0339622641509472</v>
      </c>
      <c r="J76" s="20">
        <f>COUNTIFS(Lead_Data!$F$2:$F$600,$A76,Lead_Data!$R$2:$R$600,"Overdue")</f>
        <v>10</v>
      </c>
      <c r="K76" s="20">
        <f>COUNTIFS(Lead_Data!$F$2:$F$600,$A76,Lead_Data!$R$2:$R$600,"Inactive")</f>
        <v>1</v>
      </c>
      <c r="L76" s="21">
        <f>IFERROR(COUNTIFS(Lead_Data!$F$2:$F$600,$A76,Lead_Data!$R$2:$R$600,"On Track")/E76,0)</f>
        <v>0.5</v>
      </c>
    </row>
    <row r="77" spans="1:12" x14ac:dyDescent="0.25">
      <c r="A77" s="19" t="s">
        <v>81</v>
      </c>
      <c r="B77" s="20">
        <f>COUNTIFS(Lead_Data!$F$2:$F$600,$A77)</f>
        <v>43</v>
      </c>
      <c r="C77" s="20">
        <f>COUNTIFS(Lead_Data!$F$2:$F$600,$A77,Lead_Data!$G$2:$G$600,"Won")</f>
        <v>10</v>
      </c>
      <c r="D77" s="20">
        <f>COUNTIFS(Lead_Data!$F$2:$F$600,$A77,Lead_Data!$G$2:$G$600,"Lost")</f>
        <v>11</v>
      </c>
      <c r="E77" s="20">
        <f>COUNTIFS(Lead_Data!$F$2:$F$600,$A77,Lead_Data!$O$2:$O$600,"Open")</f>
        <v>22</v>
      </c>
      <c r="F77" s="21">
        <f t="shared" si="2"/>
        <v>0.23255813953488372</v>
      </c>
      <c r="G77" s="20">
        <f>SUMIFS(Lead_Data!$H$2:$H$600,Lead_Data!$F$2:$F$600,$A77,Lead_Data!$G$2:$G$600,"Won")</f>
        <v>430400</v>
      </c>
      <c r="H77" s="20">
        <f>SUMIFS(Lead_Data!$H$2:$H$600,Lead_Data!$F$2:$F$600,$A77,Lead_Data!$O$2:$O$600,"Open")</f>
        <v>1248800</v>
      </c>
      <c r="I77" s="22">
        <f>IFERROR(AVERAGEIFS(Lead_Data!$N$2:$N$600,Lead_Data!$F$2:$F$600,$A77),0)</f>
        <v>7.1707317073170733</v>
      </c>
      <c r="J77" s="20">
        <f>COUNTIFS(Lead_Data!$F$2:$F$600,$A77,Lead_Data!$R$2:$R$600,"Overdue")</f>
        <v>6</v>
      </c>
      <c r="K77" s="20">
        <f>COUNTIFS(Lead_Data!$F$2:$F$600,$A77,Lead_Data!$R$2:$R$600,"Inactive")</f>
        <v>0</v>
      </c>
      <c r="L77" s="21">
        <f>IFERROR(COUNTIFS(Lead_Data!$F$2:$F$600,$A77,Lead_Data!$R$2:$R$600,"On Track")/E77,0)</f>
        <v>0.72727272727272729</v>
      </c>
    </row>
    <row r="78" spans="1:12" x14ac:dyDescent="0.25">
      <c r="A78" s="19" t="s">
        <v>82</v>
      </c>
      <c r="B78" s="20">
        <f>COUNTIFS(Lead_Data!$F$2:$F$600,$A78)</f>
        <v>51</v>
      </c>
      <c r="C78" s="20">
        <f>COUNTIFS(Lead_Data!$F$2:$F$600,$A78,Lead_Data!$G$2:$G$600,"Won")</f>
        <v>11</v>
      </c>
      <c r="D78" s="20">
        <f>COUNTIFS(Lead_Data!$F$2:$F$600,$A78,Lead_Data!$G$2:$G$600,"Lost")</f>
        <v>9</v>
      </c>
      <c r="E78" s="20">
        <f>COUNTIFS(Lead_Data!$F$2:$F$600,$A78,Lead_Data!$O$2:$O$600,"Open")</f>
        <v>31</v>
      </c>
      <c r="F78" s="21">
        <f t="shared" si="2"/>
        <v>0.21568627450980393</v>
      </c>
      <c r="G78" s="20">
        <f>SUMIFS(Lead_Data!$H$2:$H$600,Lead_Data!$F$2:$F$600,$A78,Lead_Data!$G$2:$G$600,"Won")</f>
        <v>291300</v>
      </c>
      <c r="H78" s="20">
        <f>SUMIFS(Lead_Data!$H$2:$H$600,Lead_Data!$F$2:$F$600,$A78,Lead_Data!$O$2:$O$600,"Open")</f>
        <v>1131600</v>
      </c>
      <c r="I78" s="22">
        <f>IFERROR(AVERAGEIFS(Lead_Data!$N$2:$N$600,Lead_Data!$F$2:$F$600,$A78),0)</f>
        <v>13.864000000000001</v>
      </c>
      <c r="J78" s="20">
        <f>COUNTIFS(Lead_Data!$F$2:$F$600,$A78,Lead_Data!$R$2:$R$600,"Overdue")</f>
        <v>11</v>
      </c>
      <c r="K78" s="20">
        <f>COUNTIFS(Lead_Data!$F$2:$F$600,$A78,Lead_Data!$R$2:$R$600,"Inactive")</f>
        <v>0</v>
      </c>
      <c r="L78" s="21">
        <f>IFERROR(COUNTIFS(Lead_Data!$F$2:$F$600,$A78,Lead_Data!$R$2:$R$600,"On Track")/E78,0)</f>
        <v>0.64516129032258063</v>
      </c>
    </row>
    <row r="79" spans="1:12" x14ac:dyDescent="0.25">
      <c r="A79" s="19" t="s">
        <v>83</v>
      </c>
      <c r="B79" s="20">
        <f>COUNTIFS(Lead_Data!$F$2:$F$600,$A79)</f>
        <v>56</v>
      </c>
      <c r="C79" s="20">
        <f>COUNTIFS(Lead_Data!$F$2:$F$600,$A79,Lead_Data!$G$2:$G$600,"Won")</f>
        <v>15</v>
      </c>
      <c r="D79" s="20">
        <f>COUNTIFS(Lead_Data!$F$2:$F$600,$A79,Lead_Data!$G$2:$G$600,"Lost")</f>
        <v>12</v>
      </c>
      <c r="E79" s="20">
        <f>COUNTIFS(Lead_Data!$F$2:$F$600,$A79,Lead_Data!$O$2:$O$600,"Open")</f>
        <v>29</v>
      </c>
      <c r="F79" s="21">
        <f t="shared" si="2"/>
        <v>0.26785714285714285</v>
      </c>
      <c r="G79" s="20">
        <f>SUMIFS(Lead_Data!$H$2:$H$600,Lead_Data!$F$2:$F$600,$A79,Lead_Data!$G$2:$G$600,"Won")</f>
        <v>804700</v>
      </c>
      <c r="H79" s="20">
        <f>SUMIFS(Lead_Data!$H$2:$H$600,Lead_Data!$F$2:$F$600,$A79,Lead_Data!$O$2:$O$600,"Open")</f>
        <v>1346100</v>
      </c>
      <c r="I79" s="22">
        <f>IFERROR(AVERAGEIFS(Lead_Data!$N$2:$N$600,Lead_Data!$F$2:$F$600,$A79),0)</f>
        <v>5.4036363636363633</v>
      </c>
      <c r="J79" s="20">
        <f>COUNTIFS(Lead_Data!$F$2:$F$600,$A79,Lead_Data!$R$2:$R$600,"Overdue")</f>
        <v>14</v>
      </c>
      <c r="K79" s="20">
        <f>COUNTIFS(Lead_Data!$F$2:$F$600,$A79,Lead_Data!$R$2:$R$600,"Inactive")</f>
        <v>1</v>
      </c>
      <c r="L79" s="21">
        <f>IFERROR(COUNTIFS(Lead_Data!$F$2:$F$600,$A79,Lead_Data!$R$2:$R$600,"On Track")/E79,0)</f>
        <v>0.48275862068965519</v>
      </c>
    </row>
    <row r="80" spans="1:12" x14ac:dyDescent="0.25">
      <c r="A80" s="19" t="s">
        <v>84</v>
      </c>
      <c r="B80" s="20">
        <f>COUNTIFS(Lead_Data!$F$2:$F$600,$A80)</f>
        <v>53</v>
      </c>
      <c r="C80" s="20">
        <f>COUNTIFS(Lead_Data!$F$2:$F$600,$A80,Lead_Data!$G$2:$G$600,"Won")</f>
        <v>9</v>
      </c>
      <c r="D80" s="20">
        <f>COUNTIFS(Lead_Data!$F$2:$F$600,$A80,Lead_Data!$G$2:$G$600,"Lost")</f>
        <v>16</v>
      </c>
      <c r="E80" s="20">
        <f>COUNTIFS(Lead_Data!$F$2:$F$600,$A80,Lead_Data!$O$2:$O$600,"Open")</f>
        <v>28</v>
      </c>
      <c r="F80" s="21">
        <f t="shared" si="2"/>
        <v>0.16981132075471697</v>
      </c>
      <c r="G80" s="20">
        <f>SUMIFS(Lead_Data!$H$2:$H$600,Lead_Data!$F$2:$F$600,$A80,Lead_Data!$G$2:$G$600,"Won")</f>
        <v>367200</v>
      </c>
      <c r="H80" s="20">
        <f>SUMIFS(Lead_Data!$H$2:$H$600,Lead_Data!$F$2:$F$600,$A80,Lead_Data!$O$2:$O$600,"Open")</f>
        <v>1063900</v>
      </c>
      <c r="I80" s="22">
        <f>IFERROR(AVERAGEIFS(Lead_Data!$N$2:$N$600,Lead_Data!$F$2:$F$600,$A80),0)</f>
        <v>10.0811320754717</v>
      </c>
      <c r="J80" s="20">
        <f>COUNTIFS(Lead_Data!$F$2:$F$600,$A80,Lead_Data!$R$2:$R$600,"Overdue")</f>
        <v>15</v>
      </c>
      <c r="K80" s="20">
        <f>COUNTIFS(Lead_Data!$F$2:$F$600,$A80,Lead_Data!$R$2:$R$600,"Inactive")</f>
        <v>1</v>
      </c>
      <c r="L80" s="21">
        <f>IFERROR(COUNTIFS(Lead_Data!$F$2:$F$600,$A80,Lead_Data!$R$2:$R$600,"On Track")/E80,0)</f>
        <v>0.42857142857142855</v>
      </c>
    </row>
    <row r="81" spans="1:12" x14ac:dyDescent="0.25">
      <c r="A81" s="19" t="s">
        <v>85</v>
      </c>
      <c r="B81" s="20">
        <f>COUNTIFS(Lead_Data!$F$2:$F$600,$A81)</f>
        <v>57</v>
      </c>
      <c r="C81" s="20">
        <f>COUNTIFS(Lead_Data!$F$2:$F$600,$A81,Lead_Data!$G$2:$G$600,"Won")</f>
        <v>15</v>
      </c>
      <c r="D81" s="20">
        <f>COUNTIFS(Lead_Data!$F$2:$F$600,$A81,Lead_Data!$G$2:$G$600,"Lost")</f>
        <v>17</v>
      </c>
      <c r="E81" s="20">
        <f>COUNTIFS(Lead_Data!$F$2:$F$600,$A81,Lead_Data!$O$2:$O$600,"Open")</f>
        <v>25</v>
      </c>
      <c r="F81" s="21">
        <f t="shared" si="2"/>
        <v>0.26315789473684209</v>
      </c>
      <c r="G81" s="20">
        <f>SUMIFS(Lead_Data!$H$2:$H$600,Lead_Data!$F$2:$F$600,$A81,Lead_Data!$G$2:$G$600,"Won")</f>
        <v>666700</v>
      </c>
      <c r="H81" s="20">
        <f>SUMIFS(Lead_Data!$H$2:$H$600,Lead_Data!$F$2:$F$600,$A81,Lead_Data!$O$2:$O$600,"Open")</f>
        <v>1663000</v>
      </c>
      <c r="I81" s="22">
        <f>IFERROR(AVERAGEIFS(Lead_Data!$N$2:$N$600,Lead_Data!$F$2:$F$600,$A81),0)</f>
        <v>6.8087719298245606</v>
      </c>
      <c r="J81" s="20">
        <f>COUNTIFS(Lead_Data!$F$2:$F$600,$A81,Lead_Data!$R$2:$R$600,"Overdue")</f>
        <v>10</v>
      </c>
      <c r="K81" s="20">
        <f>COUNTIFS(Lead_Data!$F$2:$F$600,$A81,Lead_Data!$R$2:$R$600,"Inactive")</f>
        <v>0</v>
      </c>
      <c r="L81" s="21">
        <f>IFERROR(COUNTIFS(Lead_Data!$F$2:$F$600,$A81,Lead_Data!$R$2:$R$600,"On Track")/E81,0)</f>
        <v>0.6</v>
      </c>
    </row>
    <row r="82" spans="1:12" x14ac:dyDescent="0.25">
      <c r="A82" s="19" t="s">
        <v>86</v>
      </c>
      <c r="B82" s="20">
        <f>COUNTIFS(Lead_Data!$F$2:$F$600,$A82)</f>
        <v>7</v>
      </c>
      <c r="C82" s="20">
        <f>COUNTIFS(Lead_Data!$F$2:$F$600,$A82,Lead_Data!$G$2:$G$600,"Won")</f>
        <v>0</v>
      </c>
      <c r="D82" s="20">
        <f>COUNTIFS(Lead_Data!$F$2:$F$600,$A82,Lead_Data!$G$2:$G$600,"Lost")</f>
        <v>0</v>
      </c>
      <c r="E82" s="20">
        <f>COUNTIFS(Lead_Data!$F$2:$F$600,$A82,Lead_Data!$O$2:$O$600,"Open")</f>
        <v>7</v>
      </c>
      <c r="F82" s="21">
        <f t="shared" si="2"/>
        <v>0</v>
      </c>
      <c r="G82" s="20">
        <f>SUMIFS(Lead_Data!$H$2:$H$600,Lead_Data!$F$2:$F$600,$A82,Lead_Data!$G$2:$G$600,"Won")</f>
        <v>0</v>
      </c>
      <c r="H82" s="20">
        <f>SUMIFS(Lead_Data!$H$2:$H$600,Lead_Data!$F$2:$F$600,$A82,Lead_Data!$O$2:$O$600,"Open")</f>
        <v>317700</v>
      </c>
      <c r="I82" s="22">
        <f>IFERROR(AVERAGEIFS(Lead_Data!$N$2:$N$600,Lead_Data!$F$2:$F$600,$A82),0)</f>
        <v>0</v>
      </c>
      <c r="J82" s="20">
        <f>COUNTIFS(Lead_Data!$F$2:$F$600,$A82,Lead_Data!$R$2:$R$600,"Overdue")</f>
        <v>0</v>
      </c>
      <c r="K82" s="20">
        <f>COUNTIFS(Lead_Data!$F$2:$F$600,$A82,Lead_Data!$R$2:$R$600,"Inactive")</f>
        <v>0</v>
      </c>
      <c r="L82" s="21">
        <f>IFERROR(COUNTIFS(Lead_Data!$F$2:$F$600,$A82,Lead_Data!$R$2:$R$600,"On Track")/E82,0)</f>
        <v>0</v>
      </c>
    </row>
    <row r="83" spans="1:12" x14ac:dyDescent="0.25">
      <c r="A83" s="25" t="s">
        <v>87</v>
      </c>
      <c r="B83" s="26">
        <f>SUM(B76:B82)</f>
        <v>320</v>
      </c>
      <c r="C83" s="26">
        <f>SUM(C76:C82)</f>
        <v>74</v>
      </c>
      <c r="D83" s="26">
        <f>SUM(D76:D82)</f>
        <v>82</v>
      </c>
      <c r="E83" s="26">
        <f>SUM(E76:E82)</f>
        <v>164</v>
      </c>
      <c r="F83" s="27">
        <f t="shared" si="2"/>
        <v>0.23125000000000001</v>
      </c>
      <c r="G83" s="26">
        <f>SUM(G76:G82)</f>
        <v>2906100</v>
      </c>
      <c r="H83" s="26">
        <f>SUM(H76:H82)</f>
        <v>7671200</v>
      </c>
      <c r="I83" s="28">
        <f>IFERROR(AVERAGE(Lead_Data!$N$2:$N$600),0)</f>
        <v>8.17669902912621</v>
      </c>
      <c r="J83" s="26">
        <f>SUM(J76:J82)</f>
        <v>66</v>
      </c>
      <c r="K83" s="26">
        <f>SUM(K76:K82)</f>
        <v>3</v>
      </c>
      <c r="L83" s="27">
        <f>IFERROR(COUNTIFS(Lead_Data!$R$2:$R$600,"On Track")/E83,0)</f>
        <v>0.53658536585365857</v>
      </c>
    </row>
    <row r="87" spans="1:12" x14ac:dyDescent="0.25">
      <c r="A87" s="18" t="s">
        <v>88</v>
      </c>
    </row>
    <row r="88" spans="1:12" ht="26.25" x14ac:dyDescent="0.25">
      <c r="A88" s="23" t="s">
        <v>27</v>
      </c>
      <c r="B88" s="23" t="s">
        <v>89</v>
      </c>
      <c r="C88" s="23" t="s">
        <v>90</v>
      </c>
      <c r="D88" s="23" t="s">
        <v>28</v>
      </c>
      <c r="E88" s="23" t="s">
        <v>29</v>
      </c>
      <c r="F88" s="23" t="s">
        <v>15</v>
      </c>
      <c r="G88" s="23" t="s">
        <v>30</v>
      </c>
      <c r="H88" s="23" t="s">
        <v>31</v>
      </c>
      <c r="I88" s="23" t="s">
        <v>32</v>
      </c>
      <c r="J88" s="23" t="s">
        <v>33</v>
      </c>
      <c r="K88" s="23" t="s">
        <v>34</v>
      </c>
    </row>
    <row r="89" spans="1:12" x14ac:dyDescent="0.25">
      <c r="A89" s="19">
        <v>1</v>
      </c>
      <c r="B89" s="29">
        <f>LARGE(Lead_Data!$U$2:$U$600,A89)</f>
        <v>371900.00193000003</v>
      </c>
      <c r="C89" s="19">
        <f>IF(B89&gt;0,MATCH(B89,Lead_Data!$U$2:$U$600,0),"")</f>
        <v>192</v>
      </c>
      <c r="D89" s="19" t="str">
        <f>IF($C89="","",INDEX(Lead_Data!$A$2:$A$600,$C89))</f>
        <v>L-0192</v>
      </c>
      <c r="E89" s="19" t="str">
        <f>IF($C89="","",INDEX(Lead_Data!$D$2:$D$600,$C89))</f>
        <v>Union Construction</v>
      </c>
      <c r="F89" s="19" t="str">
        <f>IF($C89="","",INDEX(Lead_Data!$F$2:$F$600,$C89))</f>
        <v>Sara Thomas</v>
      </c>
      <c r="G89" s="19" t="str">
        <f>IF($C89="","",INDEX(Lead_Data!$G$2:$G$600,$C89))</f>
        <v>Negotiation</v>
      </c>
      <c r="H89" s="20">
        <f>IF($C89="","",INDEX(Lead_Data!$H$2:$H$600,$C89))</f>
        <v>371900</v>
      </c>
      <c r="I89" s="19">
        <f>IF($C89="","",INDEX(Lead_Data!$Q$2:$Q$600,$C89))</f>
        <v>8</v>
      </c>
      <c r="J89" s="19" t="str">
        <f>IF($C89="","",INDEX(Lead_Data!$R$2:$R$600,$C89))</f>
        <v>Overdue</v>
      </c>
      <c r="K89" s="19" t="str">
        <f>IF($C89="","",INDEX(Lead_Data!$C$2:$C$600,$C89))</f>
        <v>LinkedIn</v>
      </c>
    </row>
    <row r="90" spans="1:12" x14ac:dyDescent="0.25">
      <c r="A90" s="19">
        <v>2</v>
      </c>
      <c r="B90" s="29">
        <f>LARGE(Lead_Data!$U$2:$U$600,A90)</f>
        <v>331500.00131999998</v>
      </c>
      <c r="C90" s="19">
        <f>IF(B90&gt;0,MATCH(B90,Lead_Data!$U$2:$U$600,0),"")</f>
        <v>131</v>
      </c>
      <c r="D90" s="19" t="str">
        <f>IF($C90="","",INDEX(Lead_Data!$A$2:$A$600,$C90))</f>
        <v>L-0131</v>
      </c>
      <c r="E90" s="19" t="str">
        <f>IF($C90="","",INDEX(Lead_Data!$D$2:$D$600,$C90))</f>
        <v>Falcon Technical Services</v>
      </c>
      <c r="F90" s="19" t="str">
        <f>IF($C90="","",INDEX(Lead_Data!$F$2:$F$600,$C90))</f>
        <v>Fatima Khan</v>
      </c>
      <c r="G90" s="19" t="str">
        <f>IF($C90="","",INDEX(Lead_Data!$G$2:$G$600,$C90))</f>
        <v>Negotiation</v>
      </c>
      <c r="H90" s="20">
        <f>IF($C90="","",INDEX(Lead_Data!$H$2:$H$600,$C90))</f>
        <v>331500</v>
      </c>
      <c r="I90" s="19">
        <f>IF($C90="","",INDEX(Lead_Data!$Q$2:$Q$600,$C90))</f>
        <v>3</v>
      </c>
      <c r="J90" s="19" t="str">
        <f>IF($C90="","",INDEX(Lead_Data!$R$2:$R$600,$C90))</f>
        <v>On Track</v>
      </c>
      <c r="K90" s="19" t="str">
        <f>IF($C90="","",INDEX(Lead_Data!$C$2:$C$600,$C90))</f>
        <v>Exhibition</v>
      </c>
    </row>
    <row r="91" spans="1:12" x14ac:dyDescent="0.25">
      <c r="A91" s="19">
        <v>3</v>
      </c>
      <c r="B91" s="29">
        <f>LARGE(Lead_Data!$U$2:$U$600,A91)</f>
        <v>293300.00036000001</v>
      </c>
      <c r="C91" s="19">
        <f>IF(B91&gt;0,MATCH(B91,Lead_Data!$U$2:$U$600,0),"")</f>
        <v>35</v>
      </c>
      <c r="D91" s="19" t="str">
        <f>IF($C91="","",INDEX(Lead_Data!$A$2:$A$600,$C91))</f>
        <v>L-0035</v>
      </c>
      <c r="E91" s="19" t="str">
        <f>IF($C91="","",INDEX(Lead_Data!$D$2:$D$600,$C91))</f>
        <v>Sahara Engineering</v>
      </c>
      <c r="F91" s="19" t="str">
        <f>IF($C91="","",INDEX(Lead_Data!$F$2:$F$600,$C91))</f>
        <v>Priya Nair</v>
      </c>
      <c r="G91" s="19" t="str">
        <f>IF($C91="","",INDEX(Lead_Data!$G$2:$G$600,$C91))</f>
        <v>Negotiation</v>
      </c>
      <c r="H91" s="20">
        <f>IF($C91="","",INDEX(Lead_Data!$H$2:$H$600,$C91))</f>
        <v>293300</v>
      </c>
      <c r="I91" s="19">
        <f>IF($C91="","",INDEX(Lead_Data!$Q$2:$Q$600,$C91))</f>
        <v>18</v>
      </c>
      <c r="J91" s="19" t="str">
        <f>IF($C91="","",INDEX(Lead_Data!$R$2:$R$600,$C91))</f>
        <v>Overdue</v>
      </c>
      <c r="K91" s="19" t="str">
        <f>IF($C91="","",INDEX(Lead_Data!$C$2:$C$600,$C91))</f>
        <v>Website</v>
      </c>
    </row>
    <row r="92" spans="1:12" x14ac:dyDescent="0.25">
      <c r="A92" s="19">
        <v>4</v>
      </c>
      <c r="B92" s="29">
        <f>LARGE(Lead_Data!$U$2:$U$600,A92)</f>
        <v>225700.00018</v>
      </c>
      <c r="C92" s="19">
        <f>IF(B92&gt;0,MATCH(B92,Lead_Data!$U$2:$U$600,0),"")</f>
        <v>17</v>
      </c>
      <c r="D92" s="19" t="str">
        <f>IF($C92="","",INDEX(Lead_Data!$A$2:$A$600,$C92))</f>
        <v>L-0017</v>
      </c>
      <c r="E92" s="19" t="str">
        <f>IF($C92="","",INDEX(Lead_Data!$D$2:$D$600,$C92))</f>
        <v>Skyline Construction</v>
      </c>
      <c r="F92" s="19" t="str">
        <f>IF($C92="","",INDEX(Lead_Data!$F$2:$F$600,$C92))</f>
        <v>Fatima Khan</v>
      </c>
      <c r="G92" s="19" t="str">
        <f>IF($C92="","",INDEX(Lead_Data!$G$2:$G$600,$C92))</f>
        <v>Quotation Sent</v>
      </c>
      <c r="H92" s="20">
        <f>IF($C92="","",INDEX(Lead_Data!$H$2:$H$600,$C92))</f>
        <v>225700</v>
      </c>
      <c r="I92" s="19">
        <f>IF($C92="","",INDEX(Lead_Data!$Q$2:$Q$600,$C92))</f>
        <v>2</v>
      </c>
      <c r="J92" s="19" t="str">
        <f>IF($C92="","",INDEX(Lead_Data!$R$2:$R$600,$C92))</f>
        <v>On Track</v>
      </c>
      <c r="K92" s="19" t="str">
        <f>IF($C92="","",INDEX(Lead_Data!$C$2:$C$600,$C92))</f>
        <v>Phone Call</v>
      </c>
    </row>
    <row r="93" spans="1:12" x14ac:dyDescent="0.25">
      <c r="A93" s="19">
        <v>5</v>
      </c>
      <c r="B93" s="29">
        <f>LARGE(Lead_Data!$U$2:$U$600,A93)</f>
        <v>177700.00023000001</v>
      </c>
      <c r="C93" s="19">
        <f>IF(B93&gt;0,MATCH(B93,Lead_Data!$U$2:$U$600,0),"")</f>
        <v>22</v>
      </c>
      <c r="D93" s="19" t="str">
        <f>IF($C93="","",INDEX(Lead_Data!$A$2:$A$600,$C93))</f>
        <v>L-0022</v>
      </c>
      <c r="E93" s="19" t="str">
        <f>IF($C93="","",INDEX(Lead_Data!$D$2:$D$600,$C93))</f>
        <v>Prime Technical Services</v>
      </c>
      <c r="F93" s="19" t="str">
        <f>IF($C93="","",INDEX(Lead_Data!$F$2:$F$600,$C93))</f>
        <v>Sara Thomas</v>
      </c>
      <c r="G93" s="19" t="str">
        <f>IF($C93="","",INDEX(Lead_Data!$G$2:$G$600,$C93))</f>
        <v>Quotation Sent</v>
      </c>
      <c r="H93" s="20">
        <f>IF($C93="","",INDEX(Lead_Data!$H$2:$H$600,$C93))</f>
        <v>177700</v>
      </c>
      <c r="I93" s="19">
        <f>IF($C93="","",INDEX(Lead_Data!$Q$2:$Q$600,$C93))</f>
        <v>5</v>
      </c>
      <c r="J93" s="19" t="str">
        <f>IF($C93="","",INDEX(Lead_Data!$R$2:$R$600,$C93))</f>
        <v>Overdue</v>
      </c>
      <c r="K93" s="19" t="str">
        <f>IF($C93="","",INDEX(Lead_Data!$C$2:$C$600,$C93))</f>
        <v>WhatsApp</v>
      </c>
    </row>
    <row r="94" spans="1:12" x14ac:dyDescent="0.25">
      <c r="A94" s="19">
        <v>6</v>
      </c>
      <c r="B94" s="29">
        <f>LARGE(Lead_Data!$U$2:$U$600,A94)</f>
        <v>174200.00226000001</v>
      </c>
      <c r="C94" s="19">
        <f>IF(B94&gt;0,MATCH(B94,Lead_Data!$U$2:$U$600,0),"")</f>
        <v>225</v>
      </c>
      <c r="D94" s="19" t="str">
        <f>IF($C94="","",INDEX(Lead_Data!$A$2:$A$600,$C94))</f>
        <v>L-0225</v>
      </c>
      <c r="E94" s="19" t="str">
        <f>IF($C94="","",INDEX(Lead_Data!$D$2:$D$600,$C94))</f>
        <v>Horizon Industries</v>
      </c>
      <c r="F94" s="19" t="str">
        <f>IF($C94="","",INDEX(Lead_Data!$F$2:$F$600,$C94))</f>
        <v>Priya Nair</v>
      </c>
      <c r="G94" s="19" t="str">
        <f>IF($C94="","",INDEX(Lead_Data!$G$2:$G$600,$C94))</f>
        <v>Negotiation</v>
      </c>
      <c r="H94" s="20">
        <f>IF($C94="","",INDEX(Lead_Data!$H$2:$H$600,$C94))</f>
        <v>174200</v>
      </c>
      <c r="I94" s="19">
        <f>IF($C94="","",INDEX(Lead_Data!$Q$2:$Q$600,$C94))</f>
        <v>2</v>
      </c>
      <c r="J94" s="19" t="str">
        <f>IF($C94="","",INDEX(Lead_Data!$R$2:$R$600,$C94))</f>
        <v>On Track</v>
      </c>
      <c r="K94" s="19" t="str">
        <f>IF($C94="","",INDEX(Lead_Data!$C$2:$C$600,$C94))</f>
        <v>Email</v>
      </c>
    </row>
    <row r="95" spans="1:12" x14ac:dyDescent="0.25">
      <c r="A95" s="19">
        <v>7</v>
      </c>
      <c r="B95" s="29">
        <f>LARGE(Lead_Data!$U$2:$U$600,A95)</f>
        <v>163600.00287</v>
      </c>
      <c r="C95" s="19">
        <f>IF(B95&gt;0,MATCH(B95,Lead_Data!$U$2:$U$600,0),"")</f>
        <v>286</v>
      </c>
      <c r="D95" s="19" t="str">
        <f>IF($C95="","",INDEX(Lead_Data!$A$2:$A$600,$C95))</f>
        <v>L-0286</v>
      </c>
      <c r="E95" s="19" t="str">
        <f>IF($C95="","",INDEX(Lead_Data!$D$2:$D$600,$C95))</f>
        <v>Desert Construction</v>
      </c>
      <c r="F95" s="19" t="str">
        <f>IF($C95="","",INDEX(Lead_Data!$F$2:$F$600,$C95))</f>
        <v>Unassigned</v>
      </c>
      <c r="G95" s="19" t="str">
        <f>IF($C95="","",INDEX(Lead_Data!$G$2:$G$600,$C95))</f>
        <v>New</v>
      </c>
      <c r="H95" s="20">
        <f>IF($C95="","",INDEX(Lead_Data!$H$2:$H$600,$C95))</f>
        <v>163600</v>
      </c>
      <c r="I95" s="19">
        <f>IF($C95="","",INDEX(Lead_Data!$Q$2:$Q$600,$C95))</f>
        <v>11</v>
      </c>
      <c r="J95" s="19" t="str">
        <f>IF($C95="","",INDEX(Lead_Data!$R$2:$R$600,$C95))</f>
        <v>Unassigned</v>
      </c>
      <c r="K95" s="19" t="str">
        <f>IF($C95="","",INDEX(Lead_Data!$C$2:$C$600,$C95))</f>
        <v>Exhibition</v>
      </c>
    </row>
    <row r="96" spans="1:12" x14ac:dyDescent="0.25">
      <c r="A96" s="19">
        <v>8</v>
      </c>
      <c r="B96" s="29">
        <f>LARGE(Lead_Data!$U$2:$U$600,A96)</f>
        <v>158200.00234000001</v>
      </c>
      <c r="C96" s="19">
        <f>IF(B96&gt;0,MATCH(B96,Lead_Data!$U$2:$U$600,0),"")</f>
        <v>233</v>
      </c>
      <c r="D96" s="19" t="str">
        <f>IF($C96="","",INDEX(Lead_Data!$A$2:$A$600,$C96))</f>
        <v>L-0233</v>
      </c>
      <c r="E96" s="19" t="str">
        <f>IF($C96="","",INDEX(Lead_Data!$D$2:$D$600,$C96))</f>
        <v>Emirates Construction</v>
      </c>
      <c r="F96" s="19" t="str">
        <f>IF($C96="","",INDEX(Lead_Data!$F$2:$F$600,$C96))</f>
        <v>Rahul Menon</v>
      </c>
      <c r="G96" s="19" t="str">
        <f>IF($C96="","",INDEX(Lead_Data!$G$2:$G$600,$C96))</f>
        <v>Contacted</v>
      </c>
      <c r="H96" s="20">
        <f>IF($C96="","",INDEX(Lead_Data!$H$2:$H$600,$C96))</f>
        <v>158200</v>
      </c>
      <c r="I96" s="19">
        <f>IF($C96="","",INDEX(Lead_Data!$Q$2:$Q$600,$C96))</f>
        <v>25</v>
      </c>
      <c r="J96" s="19" t="str">
        <f>IF($C96="","",INDEX(Lead_Data!$R$2:$R$600,$C96))</f>
        <v>Overdue</v>
      </c>
      <c r="K96" s="19" t="str">
        <f>IF($C96="","",INDEX(Lead_Data!$C$2:$C$600,$C96))</f>
        <v>Email</v>
      </c>
    </row>
    <row r="97" spans="1:11" x14ac:dyDescent="0.25">
      <c r="A97" s="19">
        <v>9</v>
      </c>
      <c r="B97" s="29">
        <f>LARGE(Lead_Data!$U$2:$U$600,A97)</f>
        <v>153400.00012000001</v>
      </c>
      <c r="C97" s="19">
        <f>IF(B97&gt;0,MATCH(B97,Lead_Data!$U$2:$U$600,0),"")</f>
        <v>11</v>
      </c>
      <c r="D97" s="19" t="str">
        <f>IF($C97="","",INDEX(Lead_Data!$A$2:$A$600,$C97))</f>
        <v>L-0011</v>
      </c>
      <c r="E97" s="19" t="str">
        <f>IF($C97="","",INDEX(Lead_Data!$D$2:$D$600,$C97))</f>
        <v>Emirates Industries</v>
      </c>
      <c r="F97" s="19" t="str">
        <f>IF($C97="","",INDEX(Lead_Data!$F$2:$F$600,$C97))</f>
        <v>Sara Thomas</v>
      </c>
      <c r="G97" s="19" t="str">
        <f>IF($C97="","",INDEX(Lead_Data!$G$2:$G$600,$C97))</f>
        <v>Quotation Sent</v>
      </c>
      <c r="H97" s="20">
        <f>IF($C97="","",INDEX(Lead_Data!$H$2:$H$600,$C97))</f>
        <v>153400</v>
      </c>
      <c r="I97" s="19">
        <f>IF($C97="","",INDEX(Lead_Data!$Q$2:$Q$600,$C97))</f>
        <v>2</v>
      </c>
      <c r="J97" s="19" t="str">
        <f>IF($C97="","",INDEX(Lead_Data!$R$2:$R$600,$C97))</f>
        <v>On Track</v>
      </c>
      <c r="K97" s="19" t="str">
        <f>IF($C97="","",INDEX(Lead_Data!$C$2:$C$600,$C97))</f>
        <v>Walk-in</v>
      </c>
    </row>
    <row r="98" spans="1:11" x14ac:dyDescent="0.25">
      <c r="A98" s="19">
        <v>10</v>
      </c>
      <c r="B98" s="29">
        <f>LARGE(Lead_Data!$U$2:$U$600,A98)</f>
        <v>123800.00229999999</v>
      </c>
      <c r="C98" s="19">
        <f>IF(B98&gt;0,MATCH(B98,Lead_Data!$U$2:$U$600,0),"")</f>
        <v>229</v>
      </c>
      <c r="D98" s="19" t="str">
        <f>IF($C98="","",INDEX(Lead_Data!$A$2:$A$600,$C98))</f>
        <v>L-0229</v>
      </c>
      <c r="E98" s="19" t="str">
        <f>IF($C98="","",INDEX(Lead_Data!$D$2:$D$600,$C98))</f>
        <v>Emirates Construction</v>
      </c>
      <c r="F98" s="19" t="str">
        <f>IF($C98="","",INDEX(Lead_Data!$F$2:$F$600,$C98))</f>
        <v>Priya Nair</v>
      </c>
      <c r="G98" s="19" t="str">
        <f>IF($C98="","",INDEX(Lead_Data!$G$2:$G$600,$C98))</f>
        <v>Quotation Sent</v>
      </c>
      <c r="H98" s="20">
        <f>IF($C98="","",INDEX(Lead_Data!$H$2:$H$600,$C98))</f>
        <v>123800</v>
      </c>
      <c r="I98" s="19">
        <f>IF($C98="","",INDEX(Lead_Data!$Q$2:$Q$600,$C98))</f>
        <v>3</v>
      </c>
      <c r="J98" s="19" t="str">
        <f>IF($C98="","",INDEX(Lead_Data!$R$2:$R$600,$C98))</f>
        <v>On Track</v>
      </c>
      <c r="K98" s="19" t="str">
        <f>IF($C98="","",INDEX(Lead_Data!$C$2:$C$600,$C98))</f>
        <v>Website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00"/>
  <sheetViews>
    <sheetView tabSelected="1" zoomScaleNormal="100" workbookViewId="0">
      <pane xSplit="1" ySplit="1" topLeftCell="B164" activePane="bottomRight" state="frozen"/>
      <selection pane="topRight" activeCell="B1" sqref="B1"/>
      <selection pane="bottomLeft" activeCell="A2" sqref="A2"/>
      <selection pane="bottomRight" activeCell="N3" sqref="N3"/>
    </sheetView>
  </sheetViews>
  <sheetFormatPr defaultColWidth="8.7109375" defaultRowHeight="15" x14ac:dyDescent="0.25"/>
  <cols>
    <col min="1" max="1" width="12.5703125" bestFit="1" customWidth="1"/>
    <col min="2" max="2" width="18.85546875" bestFit="1" customWidth="1"/>
    <col min="3" max="3" width="12" customWidth="1"/>
    <col min="4" max="4" width="24.85546875" bestFit="1" customWidth="1"/>
    <col min="5" max="5" width="18.28515625" bestFit="1" customWidth="1"/>
    <col min="6" max="6" width="14.42578125" bestFit="1" customWidth="1"/>
    <col min="7" max="7" width="13.5703125" bestFit="1" customWidth="1"/>
    <col min="8" max="8" width="16" bestFit="1" customWidth="1"/>
    <col min="9" max="9" width="18.85546875" bestFit="1" customWidth="1"/>
    <col min="10" max="10" width="16.5703125" bestFit="1" customWidth="1"/>
    <col min="11" max="11" width="17" bestFit="1" customWidth="1"/>
    <col min="12" max="12" width="17.140625" bestFit="1" customWidth="1"/>
    <col min="13" max="13" width="20.140625" bestFit="1" customWidth="1"/>
    <col min="14" max="14" width="14.5703125" bestFit="1" customWidth="1"/>
    <col min="15" max="15" width="11.7109375" bestFit="1" customWidth="1"/>
    <col min="16" max="16" width="14.28515625" bestFit="1" customWidth="1"/>
    <col min="17" max="17" width="16.7109375" bestFit="1" customWidth="1"/>
    <col min="18" max="18" width="14.5703125" bestFit="1" customWidth="1"/>
    <col min="19" max="19" width="12" customWidth="1"/>
    <col min="20" max="20" width="11.140625" bestFit="1" customWidth="1"/>
    <col min="21" max="21" width="12.140625" bestFit="1" customWidth="1"/>
  </cols>
  <sheetData>
    <row r="1" spans="1:21" ht="31.5" customHeight="1" x14ac:dyDescent="0.25">
      <c r="A1" s="30" t="s">
        <v>28</v>
      </c>
      <c r="B1" s="30" t="s">
        <v>91</v>
      </c>
      <c r="C1" s="30" t="s">
        <v>92</v>
      </c>
      <c r="D1" s="30" t="s">
        <v>29</v>
      </c>
      <c r="E1" s="30" t="s">
        <v>93</v>
      </c>
      <c r="F1" s="30" t="s">
        <v>94</v>
      </c>
      <c r="G1" s="30" t="s">
        <v>95</v>
      </c>
      <c r="H1" s="30" t="s">
        <v>96</v>
      </c>
      <c r="I1" s="30" t="s">
        <v>97</v>
      </c>
      <c r="J1" s="30" t="s">
        <v>98</v>
      </c>
      <c r="K1" s="30" t="s">
        <v>99</v>
      </c>
      <c r="L1" s="30" t="s">
        <v>100</v>
      </c>
      <c r="M1" s="30" t="s">
        <v>101</v>
      </c>
      <c r="N1" s="31" t="s">
        <v>102</v>
      </c>
      <c r="O1" s="31" t="s">
        <v>103</v>
      </c>
      <c r="P1" s="31" t="s">
        <v>104</v>
      </c>
      <c r="Q1" s="31" t="s">
        <v>105</v>
      </c>
      <c r="R1" s="31" t="s">
        <v>33</v>
      </c>
      <c r="S1" s="31" t="s">
        <v>106</v>
      </c>
      <c r="T1" s="31" t="s">
        <v>50</v>
      </c>
      <c r="U1" s="31" t="s">
        <v>107</v>
      </c>
    </row>
    <row r="2" spans="1:21" x14ac:dyDescent="0.25">
      <c r="A2" s="17" t="s">
        <v>108</v>
      </c>
      <c r="B2" s="32">
        <v>46174.597222222197</v>
      </c>
      <c r="C2" s="17" t="s">
        <v>63</v>
      </c>
      <c r="D2" s="17" t="s">
        <v>109</v>
      </c>
      <c r="E2" s="17" t="s">
        <v>110</v>
      </c>
      <c r="F2" s="17" t="s">
        <v>83</v>
      </c>
      <c r="G2" s="17" t="s">
        <v>17</v>
      </c>
      <c r="H2" s="33">
        <v>35900</v>
      </c>
      <c r="I2" s="32">
        <v>46174.655555555597</v>
      </c>
      <c r="J2" s="34">
        <v>46212</v>
      </c>
      <c r="K2" s="34"/>
      <c r="L2" s="34">
        <v>46212</v>
      </c>
      <c r="M2" s="17"/>
      <c r="N2" s="17">
        <f>IF(OR($A2="",$I2=""),"",ROUND(($I2-$B2)*24,1))</f>
        <v>1.4</v>
      </c>
      <c r="O2" s="17" t="str">
        <f t="shared" ref="O2:O65" si="0">IF($A2="","",IF(OR($G2="Won",$G2="Lost"),"Closed","Open"))</f>
        <v>Closed</v>
      </c>
      <c r="P2" s="35">
        <f>IF($A2="","",IF($L2&lt;&gt;"",$L2,Settings!$C$3)-INT($B2))</f>
        <v>38</v>
      </c>
      <c r="Q2" s="17" t="str">
        <f>IF($O2&lt;&gt;"Open","",Settings!$C$3-IF($J2&lt;&gt;"",$J2,INT($B2)))</f>
        <v/>
      </c>
      <c r="R2" s="17" t="str">
        <f>IF($A2="","",IF($O2="Closed","Closed",IF($F2="Unassigned","Unassigned",IF(AND($K2&lt;&gt;"",$K2&lt;Settings!$C$3),"Overdue",IF($Q2&gt;=Settings!$C$4,"Inactive","On Track")))))</f>
        <v>Closed</v>
      </c>
      <c r="S2" s="17" t="str">
        <f t="shared" ref="S2:S65" si="1">IF($O2&lt;&gt;"Open","",IF($P2&lt;=7,"0-7 days",IF($P2&lt;=15,"8-15 days",IF($P2&lt;=30,"16-30 days",IF($P2&lt;=60,"31-60 days","60+ days")))))</f>
        <v/>
      </c>
      <c r="T2" s="36">
        <f t="shared" ref="T2:T65" si="2">IF($A2="","",DATE(YEAR($B2),MONTH($B2),1))</f>
        <v>46174</v>
      </c>
      <c r="U2" s="33">
        <f>IF(AND($O2="Open",OR(Dashboard!$D$3="All",$F2=Dashboard!$D$3)),$H2+ROW()/100000,0)</f>
        <v>0</v>
      </c>
    </row>
    <row r="3" spans="1:21" x14ac:dyDescent="0.25">
      <c r="A3" s="17" t="s">
        <v>111</v>
      </c>
      <c r="B3" s="32">
        <v>46175.395833333299</v>
      </c>
      <c r="C3" s="17" t="s">
        <v>62</v>
      </c>
      <c r="D3" s="17" t="s">
        <v>112</v>
      </c>
      <c r="E3" s="17" t="s">
        <v>113</v>
      </c>
      <c r="F3" s="17" t="s">
        <v>81</v>
      </c>
      <c r="G3" s="17" t="s">
        <v>17</v>
      </c>
      <c r="H3" s="33">
        <v>28300</v>
      </c>
      <c r="I3" s="32">
        <v>46175.6</v>
      </c>
      <c r="J3" s="34">
        <v>46182</v>
      </c>
      <c r="K3" s="34"/>
      <c r="L3" s="34">
        <v>46182</v>
      </c>
      <c r="M3" s="17"/>
      <c r="N3" s="17">
        <f t="shared" ref="N2:N65" si="3">IF(OR($A3="",$I3=""),"",ROUND(($I3-$B3)*24,1))</f>
        <v>4.9000000000000004</v>
      </c>
      <c r="O3" s="17" t="str">
        <f t="shared" si="0"/>
        <v>Closed</v>
      </c>
      <c r="P3" s="35">
        <f>IF($A3="","",IF($L3&lt;&gt;"",$L3,Settings!$C$3)-INT($B3))</f>
        <v>7</v>
      </c>
      <c r="Q3" s="17" t="str">
        <f>IF($O3&lt;&gt;"Open","",Settings!$C$3-IF($J3&lt;&gt;"",$J3,INT($B3)))</f>
        <v/>
      </c>
      <c r="R3" s="17" t="str">
        <f>IF($A3="","",IF($O3="Closed","Closed",IF($F3="Unassigned","Unassigned",IF(AND($K3&lt;&gt;"",$K3&lt;Settings!$C$3),"Overdue",IF($Q3&gt;=Settings!$C$4,"Inactive","On Track")))))</f>
        <v>Closed</v>
      </c>
      <c r="S3" s="17" t="str">
        <f t="shared" si="1"/>
        <v/>
      </c>
      <c r="T3" s="36">
        <f t="shared" si="2"/>
        <v>46174</v>
      </c>
      <c r="U3" s="33">
        <f>IF(AND($O3="Open",OR(Dashboard!$D$3="All",$F3=Dashboard!$D$3)),$H3+ROW()/100000,0)</f>
        <v>0</v>
      </c>
    </row>
    <row r="4" spans="1:21" x14ac:dyDescent="0.25">
      <c r="A4" s="17" t="s">
        <v>114</v>
      </c>
      <c r="B4" s="32">
        <v>46175.409722222197</v>
      </c>
      <c r="C4" s="17" t="s">
        <v>64</v>
      </c>
      <c r="D4" s="17" t="s">
        <v>115</v>
      </c>
      <c r="E4" s="17" t="s">
        <v>116</v>
      </c>
      <c r="F4" s="17" t="s">
        <v>85</v>
      </c>
      <c r="G4" s="17" t="s">
        <v>17</v>
      </c>
      <c r="H4" s="33">
        <v>67900</v>
      </c>
      <c r="I4" s="32">
        <v>46175.801388888904</v>
      </c>
      <c r="J4" s="34">
        <v>46196</v>
      </c>
      <c r="K4" s="34"/>
      <c r="L4" s="34">
        <v>46196</v>
      </c>
      <c r="M4" s="17"/>
      <c r="N4" s="17">
        <f t="shared" si="3"/>
        <v>9.4</v>
      </c>
      <c r="O4" s="17" t="str">
        <f t="shared" si="0"/>
        <v>Closed</v>
      </c>
      <c r="P4" s="35">
        <f>IF($A4="","",IF($L4&lt;&gt;"",$L4,Settings!$C$3)-INT($B4))</f>
        <v>21</v>
      </c>
      <c r="Q4" s="17" t="str">
        <f>IF($O4&lt;&gt;"Open","",Settings!$C$3-IF($J4&lt;&gt;"",$J4,INT($B4)))</f>
        <v/>
      </c>
      <c r="R4" s="17" t="str">
        <f>IF($A4="","",IF($O4="Closed","Closed",IF($F4="Unassigned","Unassigned",IF(AND($K4&lt;&gt;"",$K4&lt;Settings!$C$3),"Overdue",IF($Q4&gt;=Settings!$C$4,"Inactive","On Track")))))</f>
        <v>Closed</v>
      </c>
      <c r="S4" s="17" t="str">
        <f t="shared" si="1"/>
        <v/>
      </c>
      <c r="T4" s="36">
        <f t="shared" si="2"/>
        <v>46174</v>
      </c>
      <c r="U4" s="33">
        <f>IF(AND($O4="Open",OR(Dashboard!$D$3="All",$F4=Dashboard!$D$3)),$H4+ROW()/100000,0)</f>
        <v>0</v>
      </c>
    </row>
    <row r="5" spans="1:21" x14ac:dyDescent="0.25">
      <c r="A5" s="17" t="s">
        <v>117</v>
      </c>
      <c r="B5" s="32">
        <v>46175.451388888898</v>
      </c>
      <c r="C5" s="17" t="s">
        <v>68</v>
      </c>
      <c r="D5" s="17" t="s">
        <v>118</v>
      </c>
      <c r="E5" s="17" t="s">
        <v>113</v>
      </c>
      <c r="F5" s="17" t="s">
        <v>83</v>
      </c>
      <c r="G5" s="17" t="s">
        <v>17</v>
      </c>
      <c r="H5" s="33">
        <v>3800</v>
      </c>
      <c r="I5" s="32">
        <v>46175.826388888898</v>
      </c>
      <c r="J5" s="34">
        <v>46189</v>
      </c>
      <c r="K5" s="34"/>
      <c r="L5" s="34">
        <v>46189</v>
      </c>
      <c r="M5" s="17"/>
      <c r="N5" s="17">
        <f t="shared" si="3"/>
        <v>9</v>
      </c>
      <c r="O5" s="17" t="str">
        <f t="shared" si="0"/>
        <v>Closed</v>
      </c>
      <c r="P5" s="35">
        <f>IF($A5="","",IF($L5&lt;&gt;"",$L5,Settings!$C$3)-INT($B5))</f>
        <v>14</v>
      </c>
      <c r="Q5" s="17" t="str">
        <f>IF($O5&lt;&gt;"Open","",Settings!$C$3-IF($J5&lt;&gt;"",$J5,INT($B5)))</f>
        <v/>
      </c>
      <c r="R5" s="17" t="str">
        <f>IF($A5="","",IF($O5="Closed","Closed",IF($F5="Unassigned","Unassigned",IF(AND($K5&lt;&gt;"",$K5&lt;Settings!$C$3),"Overdue",IF($Q5&gt;=Settings!$C$4,"Inactive","On Track")))))</f>
        <v>Closed</v>
      </c>
      <c r="S5" s="17" t="str">
        <f t="shared" si="1"/>
        <v/>
      </c>
      <c r="T5" s="36">
        <f t="shared" si="2"/>
        <v>46174</v>
      </c>
      <c r="U5" s="33">
        <f>IF(AND($O5="Open",OR(Dashboard!$D$3="All",$F5=Dashboard!$D$3)),$H5+ROW()/100000,0)</f>
        <v>0</v>
      </c>
    </row>
    <row r="6" spans="1:21" x14ac:dyDescent="0.25">
      <c r="A6" s="17" t="s">
        <v>119</v>
      </c>
      <c r="B6" s="32">
        <v>46175.659722222197</v>
      </c>
      <c r="C6" s="17" t="s">
        <v>67</v>
      </c>
      <c r="D6" s="17" t="s">
        <v>120</v>
      </c>
      <c r="E6" s="17" t="s">
        <v>116</v>
      </c>
      <c r="F6" s="17" t="s">
        <v>83</v>
      </c>
      <c r="G6" s="17" t="s">
        <v>17</v>
      </c>
      <c r="H6" s="33">
        <v>133200</v>
      </c>
      <c r="I6" s="32">
        <v>46175.730555555601</v>
      </c>
      <c r="J6" s="34">
        <v>46201</v>
      </c>
      <c r="K6" s="34"/>
      <c r="L6" s="34">
        <v>46201</v>
      </c>
      <c r="M6" s="17"/>
      <c r="N6" s="17">
        <f t="shared" si="3"/>
        <v>1.7</v>
      </c>
      <c r="O6" s="17" t="str">
        <f t="shared" si="0"/>
        <v>Closed</v>
      </c>
      <c r="P6" s="35">
        <f>IF($A6="","",IF($L6&lt;&gt;"",$L6,Settings!$C$3)-INT($B6))</f>
        <v>26</v>
      </c>
      <c r="Q6" s="17" t="str">
        <f>IF($O6&lt;&gt;"Open","",Settings!$C$3-IF($J6&lt;&gt;"",$J6,INT($B6)))</f>
        <v/>
      </c>
      <c r="R6" s="17" t="str">
        <f>IF($A6="","",IF($O6="Closed","Closed",IF($F6="Unassigned","Unassigned",IF(AND($K6&lt;&gt;"",$K6&lt;Settings!$C$3),"Overdue",IF($Q6&gt;=Settings!$C$4,"Inactive","On Track")))))</f>
        <v>Closed</v>
      </c>
      <c r="S6" s="17" t="str">
        <f t="shared" si="1"/>
        <v/>
      </c>
      <c r="T6" s="36">
        <f t="shared" si="2"/>
        <v>46174</v>
      </c>
      <c r="U6" s="33">
        <f>IF(AND($O6="Open",OR(Dashboard!$D$3="All",$F6=Dashboard!$D$3)),$H6+ROW()/100000,0)</f>
        <v>0</v>
      </c>
    </row>
    <row r="7" spans="1:21" x14ac:dyDescent="0.25">
      <c r="A7" s="17" t="s">
        <v>121</v>
      </c>
      <c r="B7" s="32">
        <v>46177.388888888898</v>
      </c>
      <c r="C7" s="17" t="s">
        <v>64</v>
      </c>
      <c r="D7" s="17" t="s">
        <v>122</v>
      </c>
      <c r="E7" s="17" t="s">
        <v>123</v>
      </c>
      <c r="F7" s="17" t="s">
        <v>84</v>
      </c>
      <c r="G7" s="17" t="s">
        <v>18</v>
      </c>
      <c r="H7" s="33">
        <v>25800</v>
      </c>
      <c r="I7" s="32">
        <v>46177.497222222199</v>
      </c>
      <c r="J7" s="34">
        <v>46210</v>
      </c>
      <c r="K7" s="34"/>
      <c r="L7" s="34">
        <v>46210</v>
      </c>
      <c r="M7" s="17" t="s">
        <v>75</v>
      </c>
      <c r="N7" s="17">
        <f t="shared" si="3"/>
        <v>2.6</v>
      </c>
      <c r="O7" s="17" t="str">
        <f t="shared" si="0"/>
        <v>Closed</v>
      </c>
      <c r="P7" s="35">
        <f>IF($A7="","",IF($L7&lt;&gt;"",$L7,Settings!$C$3)-INT($B7))</f>
        <v>33</v>
      </c>
      <c r="Q7" s="17" t="str">
        <f>IF($O7&lt;&gt;"Open","",Settings!$C$3-IF($J7&lt;&gt;"",$J7,INT($B7)))</f>
        <v/>
      </c>
      <c r="R7" s="17" t="str">
        <f>IF($A7="","",IF($O7="Closed","Closed",IF($F7="Unassigned","Unassigned",IF(AND($K7&lt;&gt;"",$K7&lt;Settings!$C$3),"Overdue",IF($Q7&gt;=Settings!$C$4,"Inactive","On Track")))))</f>
        <v>Closed</v>
      </c>
      <c r="S7" s="17" t="str">
        <f t="shared" si="1"/>
        <v/>
      </c>
      <c r="T7" s="36">
        <f t="shared" si="2"/>
        <v>46174</v>
      </c>
      <c r="U7" s="33">
        <f>IF(AND($O7="Open",OR(Dashboard!$D$3="All",$F7=Dashboard!$D$3)),$H7+ROW()/100000,0)</f>
        <v>0</v>
      </c>
    </row>
    <row r="8" spans="1:21" x14ac:dyDescent="0.25">
      <c r="A8" s="17" t="s">
        <v>124</v>
      </c>
      <c r="B8" s="32">
        <v>46179.347222222197</v>
      </c>
      <c r="C8" s="17" t="s">
        <v>67</v>
      </c>
      <c r="D8" s="17" t="s">
        <v>125</v>
      </c>
      <c r="E8" s="17" t="s">
        <v>110</v>
      </c>
      <c r="F8" s="17" t="s">
        <v>81</v>
      </c>
      <c r="G8" s="17" t="s">
        <v>48</v>
      </c>
      <c r="H8" s="33">
        <v>98800</v>
      </c>
      <c r="I8" s="32">
        <v>46179.513888888898</v>
      </c>
      <c r="J8" s="34">
        <v>46311</v>
      </c>
      <c r="K8" s="34">
        <v>46315</v>
      </c>
      <c r="L8" s="34"/>
      <c r="M8" s="17"/>
      <c r="N8" s="17">
        <f t="shared" si="3"/>
        <v>4</v>
      </c>
      <c r="O8" s="17" t="str">
        <f t="shared" si="0"/>
        <v>Open</v>
      </c>
      <c r="P8" s="35">
        <f>IF($A8="","",IF($L8&lt;&gt;"",$L8,Settings!$C$3)-INT($B8))</f>
        <v>135</v>
      </c>
      <c r="Q8" s="17">
        <f>IF($O8&lt;&gt;"Open","",Settings!$C$3-IF($J8&lt;&gt;"",$J8,INT($B8)))</f>
        <v>3</v>
      </c>
      <c r="R8" s="17" t="str">
        <f>IF($A8="","",IF($O8="Closed","Closed",IF($F8="Unassigned","Unassigned",IF(AND($K8&lt;&gt;"",$K8&lt;Settings!$C$3),"Overdue",IF($Q8&gt;=Settings!$C$4,"Inactive","On Track")))))</f>
        <v>On Track</v>
      </c>
      <c r="S8" s="17" t="str">
        <f t="shared" si="1"/>
        <v>60+ days</v>
      </c>
      <c r="T8" s="36">
        <f t="shared" si="2"/>
        <v>46174</v>
      </c>
      <c r="U8" s="33">
        <f>IF(AND($O8="Open",OR(Dashboard!$D$3="All",$F8=Dashboard!$D$3)),$H8+ROW()/100000,0)</f>
        <v>98800.000079999998</v>
      </c>
    </row>
    <row r="9" spans="1:21" x14ac:dyDescent="0.25">
      <c r="A9" s="17" t="s">
        <v>126</v>
      </c>
      <c r="B9" s="32">
        <v>46179.527777777803</v>
      </c>
      <c r="C9" s="17" t="s">
        <v>67</v>
      </c>
      <c r="D9" s="17" t="s">
        <v>127</v>
      </c>
      <c r="E9" s="17" t="s">
        <v>123</v>
      </c>
      <c r="F9" s="17" t="s">
        <v>80</v>
      </c>
      <c r="G9" s="17" t="s">
        <v>46</v>
      </c>
      <c r="H9" s="33">
        <v>24100</v>
      </c>
      <c r="I9" s="32">
        <v>46179.619444444397</v>
      </c>
      <c r="J9" s="34">
        <v>46312</v>
      </c>
      <c r="K9" s="34">
        <v>46319</v>
      </c>
      <c r="L9" s="34"/>
      <c r="M9" s="17"/>
      <c r="N9" s="17">
        <f t="shared" si="3"/>
        <v>2.2000000000000002</v>
      </c>
      <c r="O9" s="17" t="str">
        <f t="shared" si="0"/>
        <v>Open</v>
      </c>
      <c r="P9" s="35">
        <f>IF($A9="","",IF($L9&lt;&gt;"",$L9,Settings!$C$3)-INT($B9))</f>
        <v>135</v>
      </c>
      <c r="Q9" s="17">
        <f>IF($O9&lt;&gt;"Open","",Settings!$C$3-IF($J9&lt;&gt;"",$J9,INT($B9)))</f>
        <v>2</v>
      </c>
      <c r="R9" s="17" t="str">
        <f>IF($A9="","",IF($O9="Closed","Closed",IF($F9="Unassigned","Unassigned",IF(AND($K9&lt;&gt;"",$K9&lt;Settings!$C$3),"Overdue",IF($Q9&gt;=Settings!$C$4,"Inactive","On Track")))))</f>
        <v>On Track</v>
      </c>
      <c r="S9" s="17" t="str">
        <f t="shared" si="1"/>
        <v>60+ days</v>
      </c>
      <c r="T9" s="36">
        <f t="shared" si="2"/>
        <v>46174</v>
      </c>
      <c r="U9" s="33">
        <f>IF(AND($O9="Open",OR(Dashboard!$D$3="All",$F9=Dashboard!$D$3)),$H9+ROW()/100000,0)</f>
        <v>24100.000090000001</v>
      </c>
    </row>
    <row r="10" spans="1:21" x14ac:dyDescent="0.25">
      <c r="A10" s="17" t="s">
        <v>128</v>
      </c>
      <c r="B10" s="32">
        <v>46179.729166666701</v>
      </c>
      <c r="C10" s="17" t="s">
        <v>69</v>
      </c>
      <c r="D10" s="17" t="s">
        <v>129</v>
      </c>
      <c r="E10" s="17" t="s">
        <v>123</v>
      </c>
      <c r="F10" s="17" t="s">
        <v>83</v>
      </c>
      <c r="G10" s="17" t="s">
        <v>17</v>
      </c>
      <c r="H10" s="33">
        <v>108900</v>
      </c>
      <c r="I10" s="32">
        <v>46179.787499999999</v>
      </c>
      <c r="J10" s="34">
        <v>46217</v>
      </c>
      <c r="K10" s="34"/>
      <c r="L10" s="34">
        <v>46217</v>
      </c>
      <c r="M10" s="17"/>
      <c r="N10" s="17">
        <f t="shared" si="3"/>
        <v>1.4</v>
      </c>
      <c r="O10" s="17" t="str">
        <f t="shared" si="0"/>
        <v>Closed</v>
      </c>
      <c r="P10" s="35">
        <f>IF($A10="","",IF($L10&lt;&gt;"",$L10,Settings!$C$3)-INT($B10))</f>
        <v>38</v>
      </c>
      <c r="Q10" s="17" t="str">
        <f>IF($O10&lt;&gt;"Open","",Settings!$C$3-IF($J10&lt;&gt;"",$J10,INT($B10)))</f>
        <v/>
      </c>
      <c r="R10" s="17" t="str">
        <f>IF($A10="","",IF($O10="Closed","Closed",IF($F10="Unassigned","Unassigned",IF(AND($K10&lt;&gt;"",$K10&lt;Settings!$C$3),"Overdue",IF($Q10&gt;=Settings!$C$4,"Inactive","On Track")))))</f>
        <v>Closed</v>
      </c>
      <c r="S10" s="17" t="str">
        <f t="shared" si="1"/>
        <v/>
      </c>
      <c r="T10" s="36">
        <f t="shared" si="2"/>
        <v>46174</v>
      </c>
      <c r="U10" s="33">
        <f>IF(AND($O10="Open",OR(Dashboard!$D$3="All",$F10=Dashboard!$D$3)),$H10+ROW()/100000,0)</f>
        <v>0</v>
      </c>
    </row>
    <row r="11" spans="1:21" x14ac:dyDescent="0.25">
      <c r="A11" s="17" t="s">
        <v>130</v>
      </c>
      <c r="B11" s="32">
        <v>46179.736111111102</v>
      </c>
      <c r="C11" s="17" t="s">
        <v>63</v>
      </c>
      <c r="D11" s="17" t="s">
        <v>131</v>
      </c>
      <c r="E11" s="17" t="s">
        <v>123</v>
      </c>
      <c r="F11" s="17" t="s">
        <v>81</v>
      </c>
      <c r="G11" s="17" t="s">
        <v>18</v>
      </c>
      <c r="H11" s="33">
        <v>10800</v>
      </c>
      <c r="I11" s="32">
        <v>46179.961111111101</v>
      </c>
      <c r="J11" s="34">
        <v>46192</v>
      </c>
      <c r="K11" s="34"/>
      <c r="L11" s="34">
        <v>46192</v>
      </c>
      <c r="M11" s="17" t="s">
        <v>75</v>
      </c>
      <c r="N11" s="17">
        <f t="shared" si="3"/>
        <v>5.4</v>
      </c>
      <c r="O11" s="17" t="str">
        <f t="shared" si="0"/>
        <v>Closed</v>
      </c>
      <c r="P11" s="35">
        <f>IF($A11="","",IF($L11&lt;&gt;"",$L11,Settings!$C$3)-INT($B11))</f>
        <v>13</v>
      </c>
      <c r="Q11" s="17" t="str">
        <f>IF($O11&lt;&gt;"Open","",Settings!$C$3-IF($J11&lt;&gt;"",$J11,INT($B11)))</f>
        <v/>
      </c>
      <c r="R11" s="17" t="str">
        <f>IF($A11="","",IF($O11="Closed","Closed",IF($F11="Unassigned","Unassigned",IF(AND($K11&lt;&gt;"",$K11&lt;Settings!$C$3),"Overdue",IF($Q11&gt;=Settings!$C$4,"Inactive","On Track")))))</f>
        <v>Closed</v>
      </c>
      <c r="S11" s="17" t="str">
        <f t="shared" si="1"/>
        <v/>
      </c>
      <c r="T11" s="36">
        <f t="shared" si="2"/>
        <v>46174</v>
      </c>
      <c r="U11" s="33">
        <f>IF(AND($O11="Open",OR(Dashboard!$D$3="All",$F11=Dashboard!$D$3)),$H11+ROW()/100000,0)</f>
        <v>0</v>
      </c>
    </row>
    <row r="12" spans="1:21" x14ac:dyDescent="0.25">
      <c r="A12" s="17" t="s">
        <v>132</v>
      </c>
      <c r="B12" s="32">
        <v>46180.381944444503</v>
      </c>
      <c r="C12" s="17" t="s">
        <v>65</v>
      </c>
      <c r="D12" s="17" t="s">
        <v>133</v>
      </c>
      <c r="E12" s="17" t="s">
        <v>123</v>
      </c>
      <c r="F12" s="17" t="s">
        <v>85</v>
      </c>
      <c r="G12" s="17" t="s">
        <v>47</v>
      </c>
      <c r="H12" s="33">
        <v>153400</v>
      </c>
      <c r="I12" s="32">
        <v>46180.723611111098</v>
      </c>
      <c r="J12" s="34">
        <v>46312</v>
      </c>
      <c r="K12" s="34">
        <v>46320</v>
      </c>
      <c r="L12" s="34"/>
      <c r="M12" s="17"/>
      <c r="N12" s="17">
        <f t="shared" si="3"/>
        <v>8.1999999999999993</v>
      </c>
      <c r="O12" s="17" t="str">
        <f t="shared" si="0"/>
        <v>Open</v>
      </c>
      <c r="P12" s="35">
        <f>IF($A12="","",IF($L12&lt;&gt;"",$L12,Settings!$C$3)-INT($B12))</f>
        <v>134</v>
      </c>
      <c r="Q12" s="17">
        <f>IF($O12&lt;&gt;"Open","",Settings!$C$3-IF($J12&lt;&gt;"",$J12,INT($B12)))</f>
        <v>2</v>
      </c>
      <c r="R12" s="17" t="str">
        <f>IF($A12="","",IF($O12="Closed","Closed",IF($F12="Unassigned","Unassigned",IF(AND($K12&lt;&gt;"",$K12&lt;Settings!$C$3),"Overdue",IF($Q12&gt;=Settings!$C$4,"Inactive","On Track")))))</f>
        <v>On Track</v>
      </c>
      <c r="S12" s="17" t="str">
        <f t="shared" si="1"/>
        <v>60+ days</v>
      </c>
      <c r="T12" s="36">
        <f t="shared" si="2"/>
        <v>46174</v>
      </c>
      <c r="U12" s="33">
        <f>IF(AND($O12="Open",OR(Dashboard!$D$3="All",$F12=Dashboard!$D$3)),$H12+ROW()/100000,0)</f>
        <v>153400.00012000001</v>
      </c>
    </row>
    <row r="13" spans="1:21" x14ac:dyDescent="0.25">
      <c r="A13" s="17" t="s">
        <v>134</v>
      </c>
      <c r="B13" s="32">
        <v>46180.416666666701</v>
      </c>
      <c r="C13" s="17" t="s">
        <v>65</v>
      </c>
      <c r="D13" s="17" t="s">
        <v>135</v>
      </c>
      <c r="E13" s="17" t="s">
        <v>113</v>
      </c>
      <c r="F13" s="17" t="s">
        <v>82</v>
      </c>
      <c r="G13" s="17" t="s">
        <v>46</v>
      </c>
      <c r="H13" s="33">
        <v>45900</v>
      </c>
      <c r="I13" s="32">
        <v>46180.958333333299</v>
      </c>
      <c r="J13" s="34">
        <v>46311</v>
      </c>
      <c r="K13" s="34">
        <v>46316</v>
      </c>
      <c r="L13" s="34"/>
      <c r="M13" s="17"/>
      <c r="N13" s="17">
        <f t="shared" si="3"/>
        <v>13</v>
      </c>
      <c r="O13" s="17" t="str">
        <f t="shared" si="0"/>
        <v>Open</v>
      </c>
      <c r="P13" s="35">
        <f>IF($A13="","",IF($L13&lt;&gt;"",$L13,Settings!$C$3)-INT($B13))</f>
        <v>134</v>
      </c>
      <c r="Q13" s="17">
        <f>IF($O13&lt;&gt;"Open","",Settings!$C$3-IF($J13&lt;&gt;"",$J13,INT($B13)))</f>
        <v>3</v>
      </c>
      <c r="R13" s="17" t="str">
        <f>IF($A13="","",IF($O13="Closed","Closed",IF($F13="Unassigned","Unassigned",IF(AND($K13&lt;&gt;"",$K13&lt;Settings!$C$3),"Overdue",IF($Q13&gt;=Settings!$C$4,"Inactive","On Track")))))</f>
        <v>On Track</v>
      </c>
      <c r="S13" s="17" t="str">
        <f t="shared" si="1"/>
        <v>60+ days</v>
      </c>
      <c r="T13" s="36">
        <f t="shared" si="2"/>
        <v>46174</v>
      </c>
      <c r="U13" s="33">
        <f>IF(AND($O13="Open",OR(Dashboard!$D$3="All",$F13=Dashboard!$D$3)),$H13+ROW()/100000,0)</f>
        <v>45900.00013</v>
      </c>
    </row>
    <row r="14" spans="1:21" x14ac:dyDescent="0.25">
      <c r="A14" s="17" t="s">
        <v>136</v>
      </c>
      <c r="B14" s="32">
        <v>46180.743055555598</v>
      </c>
      <c r="C14" s="17" t="s">
        <v>67</v>
      </c>
      <c r="D14" s="17" t="s">
        <v>137</v>
      </c>
      <c r="E14" s="17" t="s">
        <v>138</v>
      </c>
      <c r="F14" s="17" t="s">
        <v>85</v>
      </c>
      <c r="G14" s="17" t="s">
        <v>17</v>
      </c>
      <c r="H14" s="33">
        <v>8600</v>
      </c>
      <c r="I14" s="32">
        <v>46180.8347222222</v>
      </c>
      <c r="J14" s="34">
        <v>46212</v>
      </c>
      <c r="K14" s="34"/>
      <c r="L14" s="34">
        <v>46212</v>
      </c>
      <c r="M14" s="17"/>
      <c r="N14" s="17">
        <f t="shared" si="3"/>
        <v>2.2000000000000002</v>
      </c>
      <c r="O14" s="17" t="str">
        <f t="shared" si="0"/>
        <v>Closed</v>
      </c>
      <c r="P14" s="35">
        <f>IF($A14="","",IF($L14&lt;&gt;"",$L14,Settings!$C$3)-INT($B14))</f>
        <v>32</v>
      </c>
      <c r="Q14" s="17" t="str">
        <f>IF($O14&lt;&gt;"Open","",Settings!$C$3-IF($J14&lt;&gt;"",$J14,INT($B14)))</f>
        <v/>
      </c>
      <c r="R14" s="17" t="str">
        <f>IF($A14="","",IF($O14="Closed","Closed",IF($F14="Unassigned","Unassigned",IF(AND($K14&lt;&gt;"",$K14&lt;Settings!$C$3),"Overdue",IF($Q14&gt;=Settings!$C$4,"Inactive","On Track")))))</f>
        <v>Closed</v>
      </c>
      <c r="S14" s="17" t="str">
        <f t="shared" si="1"/>
        <v/>
      </c>
      <c r="T14" s="36">
        <f t="shared" si="2"/>
        <v>46174</v>
      </c>
      <c r="U14" s="33">
        <f>IF(AND($O14="Open",OR(Dashboard!$D$3="All",$F14=Dashboard!$D$3)),$H14+ROW()/100000,0)</f>
        <v>0</v>
      </c>
    </row>
    <row r="15" spans="1:21" x14ac:dyDescent="0.25">
      <c r="A15" s="17" t="s">
        <v>139</v>
      </c>
      <c r="B15" s="32">
        <v>46181.347222222197</v>
      </c>
      <c r="C15" s="17" t="s">
        <v>63</v>
      </c>
      <c r="D15" s="17" t="s">
        <v>140</v>
      </c>
      <c r="E15" s="17" t="s">
        <v>138</v>
      </c>
      <c r="F15" s="17" t="s">
        <v>80</v>
      </c>
      <c r="G15" s="17" t="s">
        <v>17</v>
      </c>
      <c r="H15" s="33">
        <v>43200</v>
      </c>
      <c r="I15" s="32">
        <v>46181.688888888901</v>
      </c>
      <c r="J15" s="34">
        <v>46206</v>
      </c>
      <c r="K15" s="34"/>
      <c r="L15" s="34">
        <v>46206</v>
      </c>
      <c r="M15" s="17"/>
      <c r="N15" s="17">
        <f t="shared" si="3"/>
        <v>8.1999999999999993</v>
      </c>
      <c r="O15" s="17" t="str">
        <f t="shared" si="0"/>
        <v>Closed</v>
      </c>
      <c r="P15" s="35">
        <f>IF($A15="","",IF($L15&lt;&gt;"",$L15,Settings!$C$3)-INT($B15))</f>
        <v>25</v>
      </c>
      <c r="Q15" s="17" t="str">
        <f>IF($O15&lt;&gt;"Open","",Settings!$C$3-IF($J15&lt;&gt;"",$J15,INT($B15)))</f>
        <v/>
      </c>
      <c r="R15" s="17" t="str">
        <f>IF($A15="","",IF($O15="Closed","Closed",IF($F15="Unassigned","Unassigned",IF(AND($K15&lt;&gt;"",$K15&lt;Settings!$C$3),"Overdue",IF($Q15&gt;=Settings!$C$4,"Inactive","On Track")))))</f>
        <v>Closed</v>
      </c>
      <c r="S15" s="17" t="str">
        <f t="shared" si="1"/>
        <v/>
      </c>
      <c r="T15" s="36">
        <f t="shared" si="2"/>
        <v>46174</v>
      </c>
      <c r="U15" s="33">
        <f>IF(AND($O15="Open",OR(Dashboard!$D$3="All",$F15=Dashboard!$D$3)),$H15+ROW()/100000,0)</f>
        <v>0</v>
      </c>
    </row>
    <row r="16" spans="1:21" x14ac:dyDescent="0.25">
      <c r="A16" s="17" t="s">
        <v>141</v>
      </c>
      <c r="B16" s="32">
        <v>46181.409722222197</v>
      </c>
      <c r="C16" s="17" t="s">
        <v>69</v>
      </c>
      <c r="D16" s="17" t="s">
        <v>142</v>
      </c>
      <c r="E16" s="17" t="s">
        <v>138</v>
      </c>
      <c r="F16" s="17" t="s">
        <v>84</v>
      </c>
      <c r="G16" s="17" t="s">
        <v>17</v>
      </c>
      <c r="H16" s="33">
        <v>30400</v>
      </c>
      <c r="I16" s="32">
        <v>46181.676388888904</v>
      </c>
      <c r="J16" s="34">
        <v>46187</v>
      </c>
      <c r="K16" s="34"/>
      <c r="L16" s="34">
        <v>46187</v>
      </c>
      <c r="M16" s="17"/>
      <c r="N16" s="17">
        <f t="shared" si="3"/>
        <v>6.4</v>
      </c>
      <c r="O16" s="17" t="str">
        <f t="shared" si="0"/>
        <v>Closed</v>
      </c>
      <c r="P16" s="35">
        <f>IF($A16="","",IF($L16&lt;&gt;"",$L16,Settings!$C$3)-INT($B16))</f>
        <v>6</v>
      </c>
      <c r="Q16" s="17" t="str">
        <f>IF($O16&lt;&gt;"Open","",Settings!$C$3-IF($J16&lt;&gt;"",$J16,INT($B16)))</f>
        <v/>
      </c>
      <c r="R16" s="17" t="str">
        <f>IF($A16="","",IF($O16="Closed","Closed",IF($F16="Unassigned","Unassigned",IF(AND($K16&lt;&gt;"",$K16&lt;Settings!$C$3),"Overdue",IF($Q16&gt;=Settings!$C$4,"Inactive","On Track")))))</f>
        <v>Closed</v>
      </c>
      <c r="S16" s="17" t="str">
        <f t="shared" si="1"/>
        <v/>
      </c>
      <c r="T16" s="36">
        <f t="shared" si="2"/>
        <v>46174</v>
      </c>
      <c r="U16" s="33">
        <f>IF(AND($O16="Open",OR(Dashboard!$D$3="All",$F16=Dashboard!$D$3)),$H16+ROW()/100000,0)</f>
        <v>0</v>
      </c>
    </row>
    <row r="17" spans="1:21" x14ac:dyDescent="0.25">
      <c r="A17" s="17" t="s">
        <v>143</v>
      </c>
      <c r="B17" s="32">
        <v>46181.638888888898</v>
      </c>
      <c r="C17" s="17" t="s">
        <v>63</v>
      </c>
      <c r="D17" s="17" t="s">
        <v>144</v>
      </c>
      <c r="E17" s="17" t="s">
        <v>110</v>
      </c>
      <c r="F17" s="17" t="s">
        <v>81</v>
      </c>
      <c r="G17" s="17" t="s">
        <v>18</v>
      </c>
      <c r="H17" s="33">
        <v>45900</v>
      </c>
      <c r="I17" s="32">
        <v>46181.938888888901</v>
      </c>
      <c r="J17" s="34">
        <v>46194</v>
      </c>
      <c r="K17" s="34"/>
      <c r="L17" s="34">
        <v>46194</v>
      </c>
      <c r="M17" s="17" t="s">
        <v>74</v>
      </c>
      <c r="N17" s="17">
        <f t="shared" si="3"/>
        <v>7.2</v>
      </c>
      <c r="O17" s="17" t="str">
        <f t="shared" si="0"/>
        <v>Closed</v>
      </c>
      <c r="P17" s="35">
        <f>IF($A17="","",IF($L17&lt;&gt;"",$L17,Settings!$C$3)-INT($B17))</f>
        <v>13</v>
      </c>
      <c r="Q17" s="17" t="str">
        <f>IF($O17&lt;&gt;"Open","",Settings!$C$3-IF($J17&lt;&gt;"",$J17,INT($B17)))</f>
        <v/>
      </c>
      <c r="R17" s="17" t="str">
        <f>IF($A17="","",IF($O17="Closed","Closed",IF($F17="Unassigned","Unassigned",IF(AND($K17&lt;&gt;"",$K17&lt;Settings!$C$3),"Overdue",IF($Q17&gt;=Settings!$C$4,"Inactive","On Track")))))</f>
        <v>Closed</v>
      </c>
      <c r="S17" s="17" t="str">
        <f t="shared" si="1"/>
        <v/>
      </c>
      <c r="T17" s="36">
        <f t="shared" si="2"/>
        <v>46174</v>
      </c>
      <c r="U17" s="33">
        <f>IF(AND($O17="Open",OR(Dashboard!$D$3="All",$F17=Dashboard!$D$3)),$H17+ROW()/100000,0)</f>
        <v>0</v>
      </c>
    </row>
    <row r="18" spans="1:21" x14ac:dyDescent="0.25">
      <c r="A18" s="17" t="s">
        <v>145</v>
      </c>
      <c r="B18" s="32">
        <v>46184.340277777803</v>
      </c>
      <c r="C18" s="17" t="s">
        <v>64</v>
      </c>
      <c r="D18" s="17" t="s">
        <v>146</v>
      </c>
      <c r="E18" s="17" t="s">
        <v>147</v>
      </c>
      <c r="F18" s="17" t="s">
        <v>81</v>
      </c>
      <c r="G18" s="17" t="s">
        <v>47</v>
      </c>
      <c r="H18" s="33">
        <v>225700</v>
      </c>
      <c r="I18" s="32">
        <v>46184.598611111098</v>
      </c>
      <c r="J18" s="34">
        <v>46312</v>
      </c>
      <c r="K18" s="34">
        <v>46319</v>
      </c>
      <c r="L18" s="34"/>
      <c r="M18" s="17"/>
      <c r="N18" s="17">
        <f t="shared" si="3"/>
        <v>6.2</v>
      </c>
      <c r="O18" s="17" t="str">
        <f t="shared" si="0"/>
        <v>Open</v>
      </c>
      <c r="P18" s="35">
        <f>IF($A18="","",IF($L18&lt;&gt;"",$L18,Settings!$C$3)-INT($B18))</f>
        <v>130</v>
      </c>
      <c r="Q18" s="17">
        <f>IF($O18&lt;&gt;"Open","",Settings!$C$3-IF($J18&lt;&gt;"",$J18,INT($B18)))</f>
        <v>2</v>
      </c>
      <c r="R18" s="17" t="str">
        <f>IF($A18="","",IF($O18="Closed","Closed",IF($F18="Unassigned","Unassigned",IF(AND($K18&lt;&gt;"",$K18&lt;Settings!$C$3),"Overdue",IF($Q18&gt;=Settings!$C$4,"Inactive","On Track")))))</f>
        <v>On Track</v>
      </c>
      <c r="S18" s="17" t="str">
        <f t="shared" si="1"/>
        <v>60+ days</v>
      </c>
      <c r="T18" s="36">
        <f t="shared" si="2"/>
        <v>46174</v>
      </c>
      <c r="U18" s="33">
        <f>IF(AND($O18="Open",OR(Dashboard!$D$3="All",$F18=Dashboard!$D$3)),$H18+ROW()/100000,0)</f>
        <v>225700.00018</v>
      </c>
    </row>
    <row r="19" spans="1:21" x14ac:dyDescent="0.25">
      <c r="A19" s="17" t="s">
        <v>148</v>
      </c>
      <c r="B19" s="32">
        <v>46184.451388888898</v>
      </c>
      <c r="C19" s="17" t="s">
        <v>62</v>
      </c>
      <c r="D19" s="17" t="s">
        <v>149</v>
      </c>
      <c r="E19" s="17" t="s">
        <v>123</v>
      </c>
      <c r="F19" s="17" t="s">
        <v>82</v>
      </c>
      <c r="G19" s="17" t="s">
        <v>17</v>
      </c>
      <c r="H19" s="33">
        <v>40000</v>
      </c>
      <c r="I19" s="32">
        <v>46186.5222222222</v>
      </c>
      <c r="J19" s="34">
        <v>46219</v>
      </c>
      <c r="K19" s="34"/>
      <c r="L19" s="34">
        <v>46219</v>
      </c>
      <c r="M19" s="17"/>
      <c r="N19" s="17">
        <f t="shared" si="3"/>
        <v>49.7</v>
      </c>
      <c r="O19" s="17" t="str">
        <f t="shared" si="0"/>
        <v>Closed</v>
      </c>
      <c r="P19" s="35">
        <f>IF($A19="","",IF($L19&lt;&gt;"",$L19,Settings!$C$3)-INT($B19))</f>
        <v>35</v>
      </c>
      <c r="Q19" s="17" t="str">
        <f>IF($O19&lt;&gt;"Open","",Settings!$C$3-IF($J19&lt;&gt;"",$J19,INT($B19)))</f>
        <v/>
      </c>
      <c r="R19" s="17" t="str">
        <f>IF($A19="","",IF($O19="Closed","Closed",IF($F19="Unassigned","Unassigned",IF(AND($K19&lt;&gt;"",$K19&lt;Settings!$C$3),"Overdue",IF($Q19&gt;=Settings!$C$4,"Inactive","On Track")))))</f>
        <v>Closed</v>
      </c>
      <c r="S19" s="17" t="str">
        <f t="shared" si="1"/>
        <v/>
      </c>
      <c r="T19" s="36">
        <f t="shared" si="2"/>
        <v>46174</v>
      </c>
      <c r="U19" s="33">
        <f>IF(AND($O19="Open",OR(Dashboard!$D$3="All",$F19=Dashboard!$D$3)),$H19+ROW()/100000,0)</f>
        <v>0</v>
      </c>
    </row>
    <row r="20" spans="1:21" x14ac:dyDescent="0.25">
      <c r="A20" s="17" t="s">
        <v>150</v>
      </c>
      <c r="B20" s="32">
        <v>46184.548611111102</v>
      </c>
      <c r="C20" s="17" t="s">
        <v>63</v>
      </c>
      <c r="D20" s="17" t="s">
        <v>151</v>
      </c>
      <c r="E20" s="17" t="s">
        <v>147</v>
      </c>
      <c r="F20" s="17" t="s">
        <v>85</v>
      </c>
      <c r="G20" s="17" t="s">
        <v>17</v>
      </c>
      <c r="H20" s="33">
        <v>46300</v>
      </c>
      <c r="I20" s="32">
        <v>46184.698611111096</v>
      </c>
      <c r="J20" s="34">
        <v>46189</v>
      </c>
      <c r="K20" s="34"/>
      <c r="L20" s="34">
        <v>46189</v>
      </c>
      <c r="M20" s="17"/>
      <c r="N20" s="17">
        <f t="shared" si="3"/>
        <v>3.6</v>
      </c>
      <c r="O20" s="17" t="str">
        <f t="shared" si="0"/>
        <v>Closed</v>
      </c>
      <c r="P20" s="35">
        <f>IF($A20="","",IF($L20&lt;&gt;"",$L20,Settings!$C$3)-INT($B20))</f>
        <v>5</v>
      </c>
      <c r="Q20" s="17" t="str">
        <f>IF($O20&lt;&gt;"Open","",Settings!$C$3-IF($J20&lt;&gt;"",$J20,INT($B20)))</f>
        <v/>
      </c>
      <c r="R20" s="17" t="str">
        <f>IF($A20="","",IF($O20="Closed","Closed",IF($F20="Unassigned","Unassigned",IF(AND($K20&lt;&gt;"",$K20&lt;Settings!$C$3),"Overdue",IF($Q20&gt;=Settings!$C$4,"Inactive","On Track")))))</f>
        <v>Closed</v>
      </c>
      <c r="S20" s="17" t="str">
        <f t="shared" si="1"/>
        <v/>
      </c>
      <c r="T20" s="36">
        <f t="shared" si="2"/>
        <v>46174</v>
      </c>
      <c r="U20" s="33">
        <f>IF(AND($O20="Open",OR(Dashboard!$D$3="All",$F20=Dashboard!$D$3)),$H20+ROW()/100000,0)</f>
        <v>0</v>
      </c>
    </row>
    <row r="21" spans="1:21" x14ac:dyDescent="0.25">
      <c r="A21" s="17" t="s">
        <v>152</v>
      </c>
      <c r="B21" s="32">
        <v>46184.618055555598</v>
      </c>
      <c r="C21" s="17" t="s">
        <v>64</v>
      </c>
      <c r="D21" s="17" t="s">
        <v>153</v>
      </c>
      <c r="E21" s="17" t="s">
        <v>138</v>
      </c>
      <c r="F21" s="17" t="s">
        <v>82</v>
      </c>
      <c r="G21" s="17" t="s">
        <v>18</v>
      </c>
      <c r="H21" s="33">
        <v>48900</v>
      </c>
      <c r="I21" s="32">
        <v>46185.109722222202</v>
      </c>
      <c r="J21" s="34">
        <v>46220</v>
      </c>
      <c r="K21" s="34"/>
      <c r="L21" s="34">
        <v>46220</v>
      </c>
      <c r="M21" s="17" t="s">
        <v>74</v>
      </c>
      <c r="N21" s="17">
        <f t="shared" si="3"/>
        <v>11.8</v>
      </c>
      <c r="O21" s="17" t="str">
        <f t="shared" si="0"/>
        <v>Closed</v>
      </c>
      <c r="P21" s="35">
        <f>IF($A21="","",IF($L21&lt;&gt;"",$L21,Settings!$C$3)-INT($B21))</f>
        <v>36</v>
      </c>
      <c r="Q21" s="17" t="str">
        <f>IF($O21&lt;&gt;"Open","",Settings!$C$3-IF($J21&lt;&gt;"",$J21,INT($B21)))</f>
        <v/>
      </c>
      <c r="R21" s="17" t="str">
        <f>IF($A21="","",IF($O21="Closed","Closed",IF($F21="Unassigned","Unassigned",IF(AND($K21&lt;&gt;"",$K21&lt;Settings!$C$3),"Overdue",IF($Q21&gt;=Settings!$C$4,"Inactive","On Track")))))</f>
        <v>Closed</v>
      </c>
      <c r="S21" s="17" t="str">
        <f t="shared" si="1"/>
        <v/>
      </c>
      <c r="T21" s="36">
        <f t="shared" si="2"/>
        <v>46174</v>
      </c>
      <c r="U21" s="33">
        <f>IF(AND($O21="Open",OR(Dashboard!$D$3="All",$F21=Dashboard!$D$3)),$H21+ROW()/100000,0)</f>
        <v>0</v>
      </c>
    </row>
    <row r="22" spans="1:21" x14ac:dyDescent="0.25">
      <c r="A22" s="17" t="s">
        <v>154</v>
      </c>
      <c r="B22" s="32">
        <v>46185.520833333299</v>
      </c>
      <c r="C22" s="17" t="s">
        <v>64</v>
      </c>
      <c r="D22" s="17" t="s">
        <v>155</v>
      </c>
      <c r="E22" s="17" t="s">
        <v>147</v>
      </c>
      <c r="F22" s="17" t="s">
        <v>80</v>
      </c>
      <c r="G22" s="17" t="s">
        <v>17</v>
      </c>
      <c r="H22" s="33">
        <v>5200</v>
      </c>
      <c r="I22" s="32">
        <v>46185.708333333299</v>
      </c>
      <c r="J22" s="34">
        <v>46197</v>
      </c>
      <c r="K22" s="34"/>
      <c r="L22" s="34">
        <v>46197</v>
      </c>
      <c r="M22" s="17"/>
      <c r="N22" s="17">
        <f t="shared" si="3"/>
        <v>4.5</v>
      </c>
      <c r="O22" s="17" t="str">
        <f t="shared" si="0"/>
        <v>Closed</v>
      </c>
      <c r="P22" s="35">
        <f>IF($A22="","",IF($L22&lt;&gt;"",$L22,Settings!$C$3)-INT($B22))</f>
        <v>12</v>
      </c>
      <c r="Q22" s="17" t="str">
        <f>IF($O22&lt;&gt;"Open","",Settings!$C$3-IF($J22&lt;&gt;"",$J22,INT($B22)))</f>
        <v/>
      </c>
      <c r="R22" s="17" t="str">
        <f>IF($A22="","",IF($O22="Closed","Closed",IF($F22="Unassigned","Unassigned",IF(AND($K22&lt;&gt;"",$K22&lt;Settings!$C$3),"Overdue",IF($Q22&gt;=Settings!$C$4,"Inactive","On Track")))))</f>
        <v>Closed</v>
      </c>
      <c r="S22" s="17" t="str">
        <f t="shared" si="1"/>
        <v/>
      </c>
      <c r="T22" s="36">
        <f t="shared" si="2"/>
        <v>46174</v>
      </c>
      <c r="U22" s="33">
        <f>IF(AND($O22="Open",OR(Dashboard!$D$3="All",$F22=Dashboard!$D$3)),$H22+ROW()/100000,0)</f>
        <v>0</v>
      </c>
    </row>
    <row r="23" spans="1:21" x14ac:dyDescent="0.25">
      <c r="A23" s="17" t="s">
        <v>156</v>
      </c>
      <c r="B23" s="32">
        <v>46185.680555555598</v>
      </c>
      <c r="C23" s="17" t="s">
        <v>63</v>
      </c>
      <c r="D23" s="17" t="s">
        <v>157</v>
      </c>
      <c r="E23" s="17" t="s">
        <v>123</v>
      </c>
      <c r="F23" s="17" t="s">
        <v>85</v>
      </c>
      <c r="G23" s="17" t="s">
        <v>47</v>
      </c>
      <c r="H23" s="33">
        <v>177700</v>
      </c>
      <c r="I23" s="32">
        <v>46186.601388888899</v>
      </c>
      <c r="J23" s="34">
        <v>46309</v>
      </c>
      <c r="K23" s="34">
        <v>46313</v>
      </c>
      <c r="L23" s="34"/>
      <c r="M23" s="17"/>
      <c r="N23" s="17">
        <f t="shared" si="3"/>
        <v>22.1</v>
      </c>
      <c r="O23" s="17" t="str">
        <f t="shared" si="0"/>
        <v>Open</v>
      </c>
      <c r="P23" s="35">
        <f>IF($A23="","",IF($L23&lt;&gt;"",$L23,Settings!$C$3)-INT($B23))</f>
        <v>129</v>
      </c>
      <c r="Q23" s="17">
        <f>IF($O23&lt;&gt;"Open","",Settings!$C$3-IF($J23&lt;&gt;"",$J23,INT($B23)))</f>
        <v>5</v>
      </c>
      <c r="R23" s="17" t="str">
        <f>IF($A23="","",IF($O23="Closed","Closed",IF($F23="Unassigned","Unassigned",IF(AND($K23&lt;&gt;"",$K23&lt;Settings!$C$3),"Overdue",IF($Q23&gt;=Settings!$C$4,"Inactive","On Track")))))</f>
        <v>Overdue</v>
      </c>
      <c r="S23" s="17" t="str">
        <f t="shared" si="1"/>
        <v>60+ days</v>
      </c>
      <c r="T23" s="36">
        <f t="shared" si="2"/>
        <v>46174</v>
      </c>
      <c r="U23" s="33">
        <f>IF(AND($O23="Open",OR(Dashboard!$D$3="All",$F23=Dashboard!$D$3)),$H23+ROW()/100000,0)</f>
        <v>177700.00023000001</v>
      </c>
    </row>
    <row r="24" spans="1:21" x14ac:dyDescent="0.25">
      <c r="A24" s="17" t="s">
        <v>158</v>
      </c>
      <c r="B24" s="32">
        <v>46186.388888888898</v>
      </c>
      <c r="C24" s="17" t="s">
        <v>65</v>
      </c>
      <c r="D24" s="17" t="s">
        <v>159</v>
      </c>
      <c r="E24" s="17" t="s">
        <v>138</v>
      </c>
      <c r="F24" s="17" t="s">
        <v>83</v>
      </c>
      <c r="G24" s="17" t="s">
        <v>18</v>
      </c>
      <c r="H24" s="33">
        <v>58500</v>
      </c>
      <c r="I24" s="32">
        <v>46186.488888888904</v>
      </c>
      <c r="J24" s="34">
        <v>46208</v>
      </c>
      <c r="K24" s="34"/>
      <c r="L24" s="34">
        <v>46208</v>
      </c>
      <c r="M24" s="17" t="s">
        <v>75</v>
      </c>
      <c r="N24" s="17">
        <f t="shared" si="3"/>
        <v>2.4</v>
      </c>
      <c r="O24" s="17" t="str">
        <f t="shared" si="0"/>
        <v>Closed</v>
      </c>
      <c r="P24" s="35">
        <f>IF($A24="","",IF($L24&lt;&gt;"",$L24,Settings!$C$3)-INT($B24))</f>
        <v>22</v>
      </c>
      <c r="Q24" s="17" t="str">
        <f>IF($O24&lt;&gt;"Open","",Settings!$C$3-IF($J24&lt;&gt;"",$J24,INT($B24)))</f>
        <v/>
      </c>
      <c r="R24" s="17" t="str">
        <f>IF($A24="","",IF($O24="Closed","Closed",IF($F24="Unassigned","Unassigned",IF(AND($K24&lt;&gt;"",$K24&lt;Settings!$C$3),"Overdue",IF($Q24&gt;=Settings!$C$4,"Inactive","On Track")))))</f>
        <v>Closed</v>
      </c>
      <c r="S24" s="17" t="str">
        <f t="shared" si="1"/>
        <v/>
      </c>
      <c r="T24" s="36">
        <f t="shared" si="2"/>
        <v>46174</v>
      </c>
      <c r="U24" s="33">
        <f>IF(AND($O24="Open",OR(Dashboard!$D$3="All",$F24=Dashboard!$D$3)),$H24+ROW()/100000,0)</f>
        <v>0</v>
      </c>
    </row>
    <row r="25" spans="1:21" x14ac:dyDescent="0.25">
      <c r="A25" s="17" t="s">
        <v>160</v>
      </c>
      <c r="B25" s="32">
        <v>46186.743055555598</v>
      </c>
      <c r="C25" s="17" t="s">
        <v>64</v>
      </c>
      <c r="D25" s="17" t="s">
        <v>161</v>
      </c>
      <c r="E25" s="17" t="s">
        <v>113</v>
      </c>
      <c r="F25" s="17" t="s">
        <v>83</v>
      </c>
      <c r="G25" s="17" t="s">
        <v>48</v>
      </c>
      <c r="H25" s="33">
        <v>21800</v>
      </c>
      <c r="I25" s="32">
        <v>46186.913888888899</v>
      </c>
      <c r="J25" s="34">
        <v>46313</v>
      </c>
      <c r="K25" s="34">
        <v>46320</v>
      </c>
      <c r="L25" s="34"/>
      <c r="M25" s="17"/>
      <c r="N25" s="17">
        <f t="shared" si="3"/>
        <v>4.0999999999999996</v>
      </c>
      <c r="O25" s="17" t="str">
        <f t="shared" si="0"/>
        <v>Open</v>
      </c>
      <c r="P25" s="35">
        <f>IF($A25="","",IF($L25&lt;&gt;"",$L25,Settings!$C$3)-INT($B25))</f>
        <v>128</v>
      </c>
      <c r="Q25" s="17">
        <f>IF($O25&lt;&gt;"Open","",Settings!$C$3-IF($J25&lt;&gt;"",$J25,INT($B25)))</f>
        <v>1</v>
      </c>
      <c r="R25" s="17" t="str">
        <f>IF($A25="","",IF($O25="Closed","Closed",IF($F25="Unassigned","Unassigned",IF(AND($K25&lt;&gt;"",$K25&lt;Settings!$C$3),"Overdue",IF($Q25&gt;=Settings!$C$4,"Inactive","On Track")))))</f>
        <v>On Track</v>
      </c>
      <c r="S25" s="17" t="str">
        <f t="shared" si="1"/>
        <v>60+ days</v>
      </c>
      <c r="T25" s="36">
        <f t="shared" si="2"/>
        <v>46174</v>
      </c>
      <c r="U25" s="33">
        <f>IF(AND($O25="Open",OR(Dashboard!$D$3="All",$F25=Dashboard!$D$3)),$H25+ROW()/100000,0)</f>
        <v>21800.000250000001</v>
      </c>
    </row>
    <row r="26" spans="1:21" x14ac:dyDescent="0.25">
      <c r="A26" s="17" t="s">
        <v>162</v>
      </c>
      <c r="B26" s="32">
        <v>46187.423611111102</v>
      </c>
      <c r="C26" s="17" t="s">
        <v>66</v>
      </c>
      <c r="D26" s="17" t="s">
        <v>163</v>
      </c>
      <c r="E26" s="17" t="s">
        <v>113</v>
      </c>
      <c r="F26" s="17" t="s">
        <v>84</v>
      </c>
      <c r="G26" s="17" t="s">
        <v>46</v>
      </c>
      <c r="H26" s="33">
        <v>68300</v>
      </c>
      <c r="I26" s="32">
        <v>46187.769444444399</v>
      </c>
      <c r="J26" s="34">
        <v>46306</v>
      </c>
      <c r="K26" s="34">
        <v>46311</v>
      </c>
      <c r="L26" s="34"/>
      <c r="M26" s="17"/>
      <c r="N26" s="17">
        <f t="shared" si="3"/>
        <v>8.3000000000000007</v>
      </c>
      <c r="O26" s="17" t="str">
        <f t="shared" si="0"/>
        <v>Open</v>
      </c>
      <c r="P26" s="35">
        <f>IF($A26="","",IF($L26&lt;&gt;"",$L26,Settings!$C$3)-INT($B26))</f>
        <v>127</v>
      </c>
      <c r="Q26" s="17">
        <f>IF($O26&lt;&gt;"Open","",Settings!$C$3-IF($J26&lt;&gt;"",$J26,INT($B26)))</f>
        <v>8</v>
      </c>
      <c r="R26" s="17" t="str">
        <f>IF($A26="","",IF($O26="Closed","Closed",IF($F26="Unassigned","Unassigned",IF(AND($K26&lt;&gt;"",$K26&lt;Settings!$C$3),"Overdue",IF($Q26&gt;=Settings!$C$4,"Inactive","On Track")))))</f>
        <v>Overdue</v>
      </c>
      <c r="S26" s="17" t="str">
        <f t="shared" si="1"/>
        <v>60+ days</v>
      </c>
      <c r="T26" s="36">
        <f t="shared" si="2"/>
        <v>46174</v>
      </c>
      <c r="U26" s="33">
        <f>IF(AND($O26="Open",OR(Dashboard!$D$3="All",$F26=Dashboard!$D$3)),$H26+ROW()/100000,0)</f>
        <v>68300.000260000001</v>
      </c>
    </row>
    <row r="27" spans="1:21" x14ac:dyDescent="0.25">
      <c r="A27" s="17" t="s">
        <v>164</v>
      </c>
      <c r="B27" s="32">
        <v>46189.625</v>
      </c>
      <c r="C27" s="17" t="s">
        <v>66</v>
      </c>
      <c r="D27" s="17" t="s">
        <v>165</v>
      </c>
      <c r="E27" s="17" t="s">
        <v>110</v>
      </c>
      <c r="F27" s="17" t="s">
        <v>82</v>
      </c>
      <c r="G27" s="17" t="s">
        <v>46</v>
      </c>
      <c r="H27" s="33">
        <v>12600</v>
      </c>
      <c r="I27" s="32">
        <v>46190.137499999997</v>
      </c>
      <c r="J27" s="34">
        <v>46302</v>
      </c>
      <c r="K27" s="34">
        <v>46310</v>
      </c>
      <c r="L27" s="34"/>
      <c r="M27" s="17"/>
      <c r="N27" s="17">
        <f t="shared" si="3"/>
        <v>12.3</v>
      </c>
      <c r="O27" s="17" t="str">
        <f t="shared" si="0"/>
        <v>Open</v>
      </c>
      <c r="P27" s="35">
        <f>IF($A27="","",IF($L27&lt;&gt;"",$L27,Settings!$C$3)-INT($B27))</f>
        <v>125</v>
      </c>
      <c r="Q27" s="17">
        <f>IF($O27&lt;&gt;"Open","",Settings!$C$3-IF($J27&lt;&gt;"",$J27,INT($B27)))</f>
        <v>12</v>
      </c>
      <c r="R27" s="17" t="str">
        <f>IF($A27="","",IF($O27="Closed","Closed",IF($F27="Unassigned","Unassigned",IF(AND($K27&lt;&gt;"",$K27&lt;Settings!$C$3),"Overdue",IF($Q27&gt;=Settings!$C$4,"Inactive","On Track")))))</f>
        <v>Overdue</v>
      </c>
      <c r="S27" s="17" t="str">
        <f t="shared" si="1"/>
        <v>60+ days</v>
      </c>
      <c r="T27" s="36">
        <f t="shared" si="2"/>
        <v>46174</v>
      </c>
      <c r="U27" s="33">
        <f>IF(AND($O27="Open",OR(Dashboard!$D$3="All",$F27=Dashboard!$D$3)),$H27+ROW()/100000,0)</f>
        <v>12600.00027</v>
      </c>
    </row>
    <row r="28" spans="1:21" x14ac:dyDescent="0.25">
      <c r="A28" s="17" t="s">
        <v>166</v>
      </c>
      <c r="B28" s="32">
        <v>46190.486111111102</v>
      </c>
      <c r="C28" s="17" t="s">
        <v>62</v>
      </c>
      <c r="D28" s="17" t="s">
        <v>167</v>
      </c>
      <c r="E28" s="17" t="s">
        <v>116</v>
      </c>
      <c r="F28" s="17" t="s">
        <v>85</v>
      </c>
      <c r="G28" s="17" t="s">
        <v>18</v>
      </c>
      <c r="H28" s="33">
        <v>9100</v>
      </c>
      <c r="I28" s="32">
        <v>46190.581944444399</v>
      </c>
      <c r="J28" s="34">
        <v>46219</v>
      </c>
      <c r="K28" s="34"/>
      <c r="L28" s="34">
        <v>46219</v>
      </c>
      <c r="M28" s="17" t="s">
        <v>73</v>
      </c>
      <c r="N28" s="17">
        <f t="shared" si="3"/>
        <v>2.2999999999999998</v>
      </c>
      <c r="O28" s="17" t="str">
        <f t="shared" si="0"/>
        <v>Closed</v>
      </c>
      <c r="P28" s="35">
        <f>IF($A28="","",IF($L28&lt;&gt;"",$L28,Settings!$C$3)-INT($B28))</f>
        <v>29</v>
      </c>
      <c r="Q28" s="17" t="str">
        <f>IF($O28&lt;&gt;"Open","",Settings!$C$3-IF($J28&lt;&gt;"",$J28,INT($B28)))</f>
        <v/>
      </c>
      <c r="R28" s="17" t="str">
        <f>IF($A28="","",IF($O28="Closed","Closed",IF($F28="Unassigned","Unassigned",IF(AND($K28&lt;&gt;"",$K28&lt;Settings!$C$3),"Overdue",IF($Q28&gt;=Settings!$C$4,"Inactive","On Track")))))</f>
        <v>Closed</v>
      </c>
      <c r="S28" s="17" t="str">
        <f t="shared" si="1"/>
        <v/>
      </c>
      <c r="T28" s="36">
        <f t="shared" si="2"/>
        <v>46174</v>
      </c>
      <c r="U28" s="33">
        <f>IF(AND($O28="Open",OR(Dashboard!$D$3="All",$F28=Dashboard!$D$3)),$H28+ROW()/100000,0)</f>
        <v>0</v>
      </c>
    </row>
    <row r="29" spans="1:21" x14ac:dyDescent="0.25">
      <c r="A29" s="17" t="s">
        <v>168</v>
      </c>
      <c r="B29" s="32">
        <v>46190.604166666701</v>
      </c>
      <c r="C29" s="17" t="s">
        <v>66</v>
      </c>
      <c r="D29" s="17" t="s">
        <v>169</v>
      </c>
      <c r="E29" s="17" t="s">
        <v>113</v>
      </c>
      <c r="F29" s="17" t="s">
        <v>80</v>
      </c>
      <c r="G29" s="17" t="s">
        <v>18</v>
      </c>
      <c r="H29" s="33">
        <v>16600</v>
      </c>
      <c r="I29" s="32">
        <v>46191.079166666699</v>
      </c>
      <c r="J29" s="34">
        <v>46227</v>
      </c>
      <c r="K29" s="34"/>
      <c r="L29" s="34">
        <v>46227</v>
      </c>
      <c r="M29" s="17" t="s">
        <v>73</v>
      </c>
      <c r="N29" s="17">
        <f t="shared" si="3"/>
        <v>11.4</v>
      </c>
      <c r="O29" s="17" t="str">
        <f t="shared" si="0"/>
        <v>Closed</v>
      </c>
      <c r="P29" s="35">
        <f>IF($A29="","",IF($L29&lt;&gt;"",$L29,Settings!$C$3)-INT($B29))</f>
        <v>37</v>
      </c>
      <c r="Q29" s="17" t="str">
        <f>IF($O29&lt;&gt;"Open","",Settings!$C$3-IF($J29&lt;&gt;"",$J29,INT($B29)))</f>
        <v/>
      </c>
      <c r="R29" s="17" t="str">
        <f>IF($A29="","",IF($O29="Closed","Closed",IF($F29="Unassigned","Unassigned",IF(AND($K29&lt;&gt;"",$K29&lt;Settings!$C$3),"Overdue",IF($Q29&gt;=Settings!$C$4,"Inactive","On Track")))))</f>
        <v>Closed</v>
      </c>
      <c r="S29" s="17" t="str">
        <f t="shared" si="1"/>
        <v/>
      </c>
      <c r="T29" s="36">
        <f t="shared" si="2"/>
        <v>46174</v>
      </c>
      <c r="U29" s="33">
        <f>IF(AND($O29="Open",OR(Dashboard!$D$3="All",$F29=Dashboard!$D$3)),$H29+ROW()/100000,0)</f>
        <v>0</v>
      </c>
    </row>
    <row r="30" spans="1:21" x14ac:dyDescent="0.25">
      <c r="A30" s="17" t="s">
        <v>170</v>
      </c>
      <c r="B30" s="32">
        <v>46191.347222222197</v>
      </c>
      <c r="C30" s="17" t="s">
        <v>63</v>
      </c>
      <c r="D30" s="17" t="s">
        <v>171</v>
      </c>
      <c r="E30" s="17" t="s">
        <v>123</v>
      </c>
      <c r="F30" s="17" t="s">
        <v>80</v>
      </c>
      <c r="G30" s="17" t="s">
        <v>18</v>
      </c>
      <c r="H30" s="33">
        <v>6500</v>
      </c>
      <c r="I30" s="32">
        <v>46191.493055555598</v>
      </c>
      <c r="J30" s="34">
        <v>46228</v>
      </c>
      <c r="K30" s="34"/>
      <c r="L30" s="34">
        <v>46228</v>
      </c>
      <c r="M30" s="17" t="s">
        <v>74</v>
      </c>
      <c r="N30" s="17">
        <f t="shared" si="3"/>
        <v>3.5</v>
      </c>
      <c r="O30" s="17" t="str">
        <f t="shared" si="0"/>
        <v>Closed</v>
      </c>
      <c r="P30" s="35">
        <f>IF($A30="","",IF($L30&lt;&gt;"",$L30,Settings!$C$3)-INT($B30))</f>
        <v>37</v>
      </c>
      <c r="Q30" s="17" t="str">
        <f>IF($O30&lt;&gt;"Open","",Settings!$C$3-IF($J30&lt;&gt;"",$J30,INT($B30)))</f>
        <v/>
      </c>
      <c r="R30" s="17" t="str">
        <f>IF($A30="","",IF($O30="Closed","Closed",IF($F30="Unassigned","Unassigned",IF(AND($K30&lt;&gt;"",$K30&lt;Settings!$C$3),"Overdue",IF($Q30&gt;=Settings!$C$4,"Inactive","On Track")))))</f>
        <v>Closed</v>
      </c>
      <c r="S30" s="17" t="str">
        <f t="shared" si="1"/>
        <v/>
      </c>
      <c r="T30" s="36">
        <f t="shared" si="2"/>
        <v>46174</v>
      </c>
      <c r="U30" s="33">
        <f>IF(AND($O30="Open",OR(Dashboard!$D$3="All",$F30=Dashboard!$D$3)),$H30+ROW()/100000,0)</f>
        <v>0</v>
      </c>
    </row>
    <row r="31" spans="1:21" x14ac:dyDescent="0.25">
      <c r="A31" s="17" t="s">
        <v>172</v>
      </c>
      <c r="B31" s="32">
        <v>46191.493055555598</v>
      </c>
      <c r="C31" s="17" t="s">
        <v>67</v>
      </c>
      <c r="D31" s="17" t="s">
        <v>173</v>
      </c>
      <c r="E31" s="17" t="s">
        <v>123</v>
      </c>
      <c r="F31" s="17" t="s">
        <v>82</v>
      </c>
      <c r="G31" s="17" t="s">
        <v>18</v>
      </c>
      <c r="H31" s="33">
        <v>131800</v>
      </c>
      <c r="I31" s="32">
        <v>46191.7680555556</v>
      </c>
      <c r="J31" s="34">
        <v>46211</v>
      </c>
      <c r="K31" s="34"/>
      <c r="L31" s="34">
        <v>46211</v>
      </c>
      <c r="M31" s="17" t="s">
        <v>75</v>
      </c>
      <c r="N31" s="17">
        <f t="shared" si="3"/>
        <v>6.6</v>
      </c>
      <c r="O31" s="17" t="str">
        <f t="shared" si="0"/>
        <v>Closed</v>
      </c>
      <c r="P31" s="35">
        <f>IF($A31="","",IF($L31&lt;&gt;"",$L31,Settings!$C$3)-INT($B31))</f>
        <v>20</v>
      </c>
      <c r="Q31" s="17" t="str">
        <f>IF($O31&lt;&gt;"Open","",Settings!$C$3-IF($J31&lt;&gt;"",$J31,INT($B31)))</f>
        <v/>
      </c>
      <c r="R31" s="17" t="str">
        <f>IF($A31="","",IF($O31="Closed","Closed",IF($F31="Unassigned","Unassigned",IF(AND($K31&lt;&gt;"",$K31&lt;Settings!$C$3),"Overdue",IF($Q31&gt;=Settings!$C$4,"Inactive","On Track")))))</f>
        <v>Closed</v>
      </c>
      <c r="S31" s="17" t="str">
        <f t="shared" si="1"/>
        <v/>
      </c>
      <c r="T31" s="36">
        <f t="shared" si="2"/>
        <v>46174</v>
      </c>
      <c r="U31" s="33">
        <f>IF(AND($O31="Open",OR(Dashboard!$D$3="All",$F31=Dashboard!$D$3)),$H31+ROW()/100000,0)</f>
        <v>0</v>
      </c>
    </row>
    <row r="32" spans="1:21" x14ac:dyDescent="0.25">
      <c r="A32" s="17" t="s">
        <v>174</v>
      </c>
      <c r="B32" s="32">
        <v>46191.548611111102</v>
      </c>
      <c r="C32" s="17" t="s">
        <v>63</v>
      </c>
      <c r="D32" s="17" t="s">
        <v>175</v>
      </c>
      <c r="E32" s="17" t="s">
        <v>113</v>
      </c>
      <c r="F32" s="17" t="s">
        <v>85</v>
      </c>
      <c r="G32" s="17" t="s">
        <v>18</v>
      </c>
      <c r="H32" s="33">
        <v>42300</v>
      </c>
      <c r="I32" s="32">
        <v>46191.690277777801</v>
      </c>
      <c r="J32" s="34">
        <v>46211</v>
      </c>
      <c r="K32" s="34"/>
      <c r="L32" s="34">
        <v>46211</v>
      </c>
      <c r="M32" s="17" t="s">
        <v>74</v>
      </c>
      <c r="N32" s="17">
        <f t="shared" si="3"/>
        <v>3.4</v>
      </c>
      <c r="O32" s="17" t="str">
        <f t="shared" si="0"/>
        <v>Closed</v>
      </c>
      <c r="P32" s="35">
        <f>IF($A32="","",IF($L32&lt;&gt;"",$L32,Settings!$C$3)-INT($B32))</f>
        <v>20</v>
      </c>
      <c r="Q32" s="17" t="str">
        <f>IF($O32&lt;&gt;"Open","",Settings!$C$3-IF($J32&lt;&gt;"",$J32,INT($B32)))</f>
        <v/>
      </c>
      <c r="R32" s="17" t="str">
        <f>IF($A32="","",IF($O32="Closed","Closed",IF($F32="Unassigned","Unassigned",IF(AND($K32&lt;&gt;"",$K32&lt;Settings!$C$3),"Overdue",IF($Q32&gt;=Settings!$C$4,"Inactive","On Track")))))</f>
        <v>Closed</v>
      </c>
      <c r="S32" s="17" t="str">
        <f t="shared" si="1"/>
        <v/>
      </c>
      <c r="T32" s="36">
        <f t="shared" si="2"/>
        <v>46174</v>
      </c>
      <c r="U32" s="33">
        <f>IF(AND($O32="Open",OR(Dashboard!$D$3="All",$F32=Dashboard!$D$3)),$H32+ROW()/100000,0)</f>
        <v>0</v>
      </c>
    </row>
    <row r="33" spans="1:21" x14ac:dyDescent="0.25">
      <c r="A33" s="17" t="s">
        <v>176</v>
      </c>
      <c r="B33" s="32">
        <v>46192.444444444503</v>
      </c>
      <c r="C33" s="17" t="s">
        <v>65</v>
      </c>
      <c r="D33" s="17" t="s">
        <v>177</v>
      </c>
      <c r="E33" s="17" t="s">
        <v>138</v>
      </c>
      <c r="F33" s="17" t="s">
        <v>85</v>
      </c>
      <c r="G33" s="17" t="s">
        <v>17</v>
      </c>
      <c r="H33" s="33">
        <v>107000</v>
      </c>
      <c r="I33" s="32">
        <v>46192.581944444399</v>
      </c>
      <c r="J33" s="34">
        <v>46200</v>
      </c>
      <c r="K33" s="34"/>
      <c r="L33" s="34">
        <v>46200</v>
      </c>
      <c r="M33" s="17"/>
      <c r="N33" s="17">
        <f t="shared" si="3"/>
        <v>3.3</v>
      </c>
      <c r="O33" s="17" t="str">
        <f t="shared" si="0"/>
        <v>Closed</v>
      </c>
      <c r="P33" s="35">
        <f>IF($A33="","",IF($L33&lt;&gt;"",$L33,Settings!$C$3)-INT($B33))</f>
        <v>8</v>
      </c>
      <c r="Q33" s="17" t="str">
        <f>IF($O33&lt;&gt;"Open","",Settings!$C$3-IF($J33&lt;&gt;"",$J33,INT($B33)))</f>
        <v/>
      </c>
      <c r="R33" s="17" t="str">
        <f>IF($A33="","",IF($O33="Closed","Closed",IF($F33="Unassigned","Unassigned",IF(AND($K33&lt;&gt;"",$K33&lt;Settings!$C$3),"Overdue",IF($Q33&gt;=Settings!$C$4,"Inactive","On Track")))))</f>
        <v>Closed</v>
      </c>
      <c r="S33" s="17" t="str">
        <f t="shared" si="1"/>
        <v/>
      </c>
      <c r="T33" s="36">
        <f t="shared" si="2"/>
        <v>46174</v>
      </c>
      <c r="U33" s="33">
        <f>IF(AND($O33="Open",OR(Dashboard!$D$3="All",$F33=Dashboard!$D$3)),$H33+ROW()/100000,0)</f>
        <v>0</v>
      </c>
    </row>
    <row r="34" spans="1:21" x14ac:dyDescent="0.25">
      <c r="A34" s="17" t="s">
        <v>178</v>
      </c>
      <c r="B34" s="32">
        <v>46193.652777777803</v>
      </c>
      <c r="C34" s="17" t="s">
        <v>63</v>
      </c>
      <c r="D34" s="17" t="s">
        <v>179</v>
      </c>
      <c r="E34" s="17" t="s">
        <v>110</v>
      </c>
      <c r="F34" s="17" t="s">
        <v>80</v>
      </c>
      <c r="G34" s="17" t="s">
        <v>17</v>
      </c>
      <c r="H34" s="33">
        <v>40700</v>
      </c>
      <c r="I34" s="32">
        <v>46193.698611111096</v>
      </c>
      <c r="J34" s="34">
        <v>46233</v>
      </c>
      <c r="K34" s="34"/>
      <c r="L34" s="34">
        <v>46233</v>
      </c>
      <c r="M34" s="17"/>
      <c r="N34" s="17">
        <f t="shared" si="3"/>
        <v>1.1000000000000001</v>
      </c>
      <c r="O34" s="17" t="str">
        <f t="shared" si="0"/>
        <v>Closed</v>
      </c>
      <c r="P34" s="35">
        <f>IF($A34="","",IF($L34&lt;&gt;"",$L34,Settings!$C$3)-INT($B34))</f>
        <v>40</v>
      </c>
      <c r="Q34" s="17" t="str">
        <f>IF($O34&lt;&gt;"Open","",Settings!$C$3-IF($J34&lt;&gt;"",$J34,INT($B34)))</f>
        <v/>
      </c>
      <c r="R34" s="17" t="str">
        <f>IF($A34="","",IF($O34="Closed","Closed",IF($F34="Unassigned","Unassigned",IF(AND($K34&lt;&gt;"",$K34&lt;Settings!$C$3),"Overdue",IF($Q34&gt;=Settings!$C$4,"Inactive","On Track")))))</f>
        <v>Closed</v>
      </c>
      <c r="S34" s="17" t="str">
        <f t="shared" si="1"/>
        <v/>
      </c>
      <c r="T34" s="36">
        <f t="shared" si="2"/>
        <v>46174</v>
      </c>
      <c r="U34" s="33">
        <f>IF(AND($O34="Open",OR(Dashboard!$D$3="All",$F34=Dashboard!$D$3)),$H34+ROW()/100000,0)</f>
        <v>0</v>
      </c>
    </row>
    <row r="35" spans="1:21" x14ac:dyDescent="0.25">
      <c r="A35" s="17" t="s">
        <v>180</v>
      </c>
      <c r="B35" s="32">
        <v>46194.347222222197</v>
      </c>
      <c r="C35" s="17" t="s">
        <v>63</v>
      </c>
      <c r="D35" s="17" t="s">
        <v>181</v>
      </c>
      <c r="E35" s="17" t="s">
        <v>113</v>
      </c>
      <c r="F35" s="17" t="s">
        <v>81</v>
      </c>
      <c r="G35" s="17" t="s">
        <v>47</v>
      </c>
      <c r="H35" s="33">
        <v>81600</v>
      </c>
      <c r="I35" s="32">
        <v>46194.484722222202</v>
      </c>
      <c r="J35" s="34">
        <v>46311</v>
      </c>
      <c r="K35" s="34">
        <v>46320</v>
      </c>
      <c r="L35" s="34"/>
      <c r="M35" s="17"/>
      <c r="N35" s="17">
        <f t="shared" si="3"/>
        <v>3.3</v>
      </c>
      <c r="O35" s="17" t="str">
        <f t="shared" si="0"/>
        <v>Open</v>
      </c>
      <c r="P35" s="35">
        <f>IF($A35="","",IF($L35&lt;&gt;"",$L35,Settings!$C$3)-INT($B35))</f>
        <v>120</v>
      </c>
      <c r="Q35" s="17">
        <f>IF($O35&lt;&gt;"Open","",Settings!$C$3-IF($J35&lt;&gt;"",$J35,INT($B35)))</f>
        <v>3</v>
      </c>
      <c r="R35" s="17" t="str">
        <f>IF($A35="","",IF($O35="Closed","Closed",IF($F35="Unassigned","Unassigned",IF(AND($K35&lt;&gt;"",$K35&lt;Settings!$C$3),"Overdue",IF($Q35&gt;=Settings!$C$4,"Inactive","On Track")))))</f>
        <v>On Track</v>
      </c>
      <c r="S35" s="17" t="str">
        <f t="shared" si="1"/>
        <v>60+ days</v>
      </c>
      <c r="T35" s="36">
        <f t="shared" si="2"/>
        <v>46174</v>
      </c>
      <c r="U35" s="33">
        <f>IF(AND($O35="Open",OR(Dashboard!$D$3="All",$F35=Dashboard!$D$3)),$H35+ROW()/100000,0)</f>
        <v>81600.000350000002</v>
      </c>
    </row>
    <row r="36" spans="1:21" x14ac:dyDescent="0.25">
      <c r="A36" s="17" t="s">
        <v>182</v>
      </c>
      <c r="B36" s="32">
        <v>46194.409722222197</v>
      </c>
      <c r="C36" s="17" t="s">
        <v>62</v>
      </c>
      <c r="D36" s="17" t="s">
        <v>183</v>
      </c>
      <c r="E36" s="17" t="s">
        <v>116</v>
      </c>
      <c r="F36" s="17" t="s">
        <v>83</v>
      </c>
      <c r="G36" s="17" t="s">
        <v>48</v>
      </c>
      <c r="H36" s="33">
        <v>293300</v>
      </c>
      <c r="I36" s="32">
        <v>46194.447222222203</v>
      </c>
      <c r="J36" s="34">
        <v>46296</v>
      </c>
      <c r="K36" s="34">
        <v>46305</v>
      </c>
      <c r="L36" s="34"/>
      <c r="M36" s="17"/>
      <c r="N36" s="17">
        <f t="shared" si="3"/>
        <v>0.9</v>
      </c>
      <c r="O36" s="17" t="str">
        <f t="shared" si="0"/>
        <v>Open</v>
      </c>
      <c r="P36" s="35">
        <f>IF($A36="","",IF($L36&lt;&gt;"",$L36,Settings!$C$3)-INT($B36))</f>
        <v>120</v>
      </c>
      <c r="Q36" s="17">
        <f>IF($O36&lt;&gt;"Open","",Settings!$C$3-IF($J36&lt;&gt;"",$J36,INT($B36)))</f>
        <v>18</v>
      </c>
      <c r="R36" s="17" t="str">
        <f>IF($A36="","",IF($O36="Closed","Closed",IF($F36="Unassigned","Unassigned",IF(AND($K36&lt;&gt;"",$K36&lt;Settings!$C$3),"Overdue",IF($Q36&gt;=Settings!$C$4,"Inactive","On Track")))))</f>
        <v>Overdue</v>
      </c>
      <c r="S36" s="17" t="str">
        <f t="shared" si="1"/>
        <v>60+ days</v>
      </c>
      <c r="T36" s="36">
        <f t="shared" si="2"/>
        <v>46174</v>
      </c>
      <c r="U36" s="33">
        <f>IF(AND($O36="Open",OR(Dashboard!$D$3="All",$F36=Dashboard!$D$3)),$H36+ROW()/100000,0)</f>
        <v>293300.00036000001</v>
      </c>
    </row>
    <row r="37" spans="1:21" x14ac:dyDescent="0.25">
      <c r="A37" s="17" t="s">
        <v>184</v>
      </c>
      <c r="B37" s="32">
        <v>46194.618055555598</v>
      </c>
      <c r="C37" s="17" t="s">
        <v>64</v>
      </c>
      <c r="D37" s="17" t="s">
        <v>185</v>
      </c>
      <c r="E37" s="17" t="s">
        <v>138</v>
      </c>
      <c r="F37" s="17" t="s">
        <v>84</v>
      </c>
      <c r="G37" s="17" t="s">
        <v>18</v>
      </c>
      <c r="H37" s="33">
        <v>17700</v>
      </c>
      <c r="I37" s="32">
        <v>46194.8305555556</v>
      </c>
      <c r="J37" s="34">
        <v>46202</v>
      </c>
      <c r="K37" s="34"/>
      <c r="L37" s="34">
        <v>46202</v>
      </c>
      <c r="M37" s="17" t="s">
        <v>75</v>
      </c>
      <c r="N37" s="17">
        <f t="shared" si="3"/>
        <v>5.0999999999999996</v>
      </c>
      <c r="O37" s="17" t="str">
        <f t="shared" si="0"/>
        <v>Closed</v>
      </c>
      <c r="P37" s="35">
        <f>IF($A37="","",IF($L37&lt;&gt;"",$L37,Settings!$C$3)-INT($B37))</f>
        <v>8</v>
      </c>
      <c r="Q37" s="17" t="str">
        <f>IF($O37&lt;&gt;"Open","",Settings!$C$3-IF($J37&lt;&gt;"",$J37,INT($B37)))</f>
        <v/>
      </c>
      <c r="R37" s="17" t="str">
        <f>IF($A37="","",IF($O37="Closed","Closed",IF($F37="Unassigned","Unassigned",IF(AND($K37&lt;&gt;"",$K37&lt;Settings!$C$3),"Overdue",IF($Q37&gt;=Settings!$C$4,"Inactive","On Track")))))</f>
        <v>Closed</v>
      </c>
      <c r="S37" s="17" t="str">
        <f t="shared" si="1"/>
        <v/>
      </c>
      <c r="T37" s="36">
        <f t="shared" si="2"/>
        <v>46174</v>
      </c>
      <c r="U37" s="33">
        <f>IF(AND($O37="Open",OR(Dashboard!$D$3="All",$F37=Dashboard!$D$3)),$H37+ROW()/100000,0)</f>
        <v>0</v>
      </c>
    </row>
    <row r="38" spans="1:21" x14ac:dyDescent="0.25">
      <c r="A38" s="17" t="s">
        <v>186</v>
      </c>
      <c r="B38" s="32">
        <v>46195.680555555598</v>
      </c>
      <c r="C38" s="17" t="s">
        <v>63</v>
      </c>
      <c r="D38" s="17" t="s">
        <v>187</v>
      </c>
      <c r="E38" s="17" t="s">
        <v>110</v>
      </c>
      <c r="F38" s="17" t="s">
        <v>80</v>
      </c>
      <c r="G38" s="17" t="s">
        <v>47</v>
      </c>
      <c r="H38" s="33">
        <v>7300</v>
      </c>
      <c r="I38" s="32">
        <v>46195.7097222222</v>
      </c>
      <c r="J38" s="34">
        <v>46296</v>
      </c>
      <c r="K38" s="34">
        <v>46302</v>
      </c>
      <c r="L38" s="34"/>
      <c r="M38" s="17"/>
      <c r="N38" s="17">
        <f t="shared" si="3"/>
        <v>0.7</v>
      </c>
      <c r="O38" s="17" t="str">
        <f t="shared" si="0"/>
        <v>Open</v>
      </c>
      <c r="P38" s="35">
        <f>IF($A38="","",IF($L38&lt;&gt;"",$L38,Settings!$C$3)-INT($B38))</f>
        <v>119</v>
      </c>
      <c r="Q38" s="17">
        <f>IF($O38&lt;&gt;"Open","",Settings!$C$3-IF($J38&lt;&gt;"",$J38,INT($B38)))</f>
        <v>18</v>
      </c>
      <c r="R38" s="17" t="str">
        <f>IF($A38="","",IF($O38="Closed","Closed",IF($F38="Unassigned","Unassigned",IF(AND($K38&lt;&gt;"",$K38&lt;Settings!$C$3),"Overdue",IF($Q38&gt;=Settings!$C$4,"Inactive","On Track")))))</f>
        <v>Overdue</v>
      </c>
      <c r="S38" s="17" t="str">
        <f t="shared" si="1"/>
        <v>60+ days</v>
      </c>
      <c r="T38" s="36">
        <f t="shared" si="2"/>
        <v>46174</v>
      </c>
      <c r="U38" s="33">
        <f>IF(AND($O38="Open",OR(Dashboard!$D$3="All",$F38=Dashboard!$D$3)),$H38+ROW()/100000,0)</f>
        <v>7300.0003800000004</v>
      </c>
    </row>
    <row r="39" spans="1:21" x14ac:dyDescent="0.25">
      <c r="A39" s="17" t="s">
        <v>188</v>
      </c>
      <c r="B39" s="32">
        <v>46196.583333333299</v>
      </c>
      <c r="C39" s="17" t="s">
        <v>68</v>
      </c>
      <c r="D39" s="17" t="s">
        <v>189</v>
      </c>
      <c r="E39" s="17" t="s">
        <v>123</v>
      </c>
      <c r="F39" s="17" t="s">
        <v>81</v>
      </c>
      <c r="G39" s="17" t="s">
        <v>18</v>
      </c>
      <c r="H39" s="33">
        <v>66100</v>
      </c>
      <c r="I39" s="32">
        <v>46198.066666666702</v>
      </c>
      <c r="J39" s="34">
        <v>46222</v>
      </c>
      <c r="K39" s="34"/>
      <c r="L39" s="34">
        <v>46222</v>
      </c>
      <c r="M39" s="17" t="s">
        <v>74</v>
      </c>
      <c r="N39" s="17">
        <f t="shared" si="3"/>
        <v>35.6</v>
      </c>
      <c r="O39" s="17" t="str">
        <f t="shared" si="0"/>
        <v>Closed</v>
      </c>
      <c r="P39" s="35">
        <f>IF($A39="","",IF($L39&lt;&gt;"",$L39,Settings!$C$3)-INT($B39))</f>
        <v>26</v>
      </c>
      <c r="Q39" s="17" t="str">
        <f>IF($O39&lt;&gt;"Open","",Settings!$C$3-IF($J39&lt;&gt;"",$J39,INT($B39)))</f>
        <v/>
      </c>
      <c r="R39" s="17" t="str">
        <f>IF($A39="","",IF($O39="Closed","Closed",IF($F39="Unassigned","Unassigned",IF(AND($K39&lt;&gt;"",$K39&lt;Settings!$C$3),"Overdue",IF($Q39&gt;=Settings!$C$4,"Inactive","On Track")))))</f>
        <v>Closed</v>
      </c>
      <c r="S39" s="17" t="str">
        <f t="shared" si="1"/>
        <v/>
      </c>
      <c r="T39" s="36">
        <f t="shared" si="2"/>
        <v>46174</v>
      </c>
      <c r="U39" s="33">
        <f>IF(AND($O39="Open",OR(Dashboard!$D$3="All",$F39=Dashboard!$D$3)),$H39+ROW()/100000,0)</f>
        <v>0</v>
      </c>
    </row>
    <row r="40" spans="1:21" x14ac:dyDescent="0.25">
      <c r="A40" s="17" t="s">
        <v>190</v>
      </c>
      <c r="B40" s="32">
        <v>46197.458333333299</v>
      </c>
      <c r="C40" s="17" t="s">
        <v>69</v>
      </c>
      <c r="D40" s="17" t="s">
        <v>191</v>
      </c>
      <c r="E40" s="17" t="s">
        <v>123</v>
      </c>
      <c r="F40" s="17" t="s">
        <v>83</v>
      </c>
      <c r="G40" s="17" t="s">
        <v>47</v>
      </c>
      <c r="H40" s="33">
        <v>17200</v>
      </c>
      <c r="I40" s="32">
        <v>46197.533333333296</v>
      </c>
      <c r="J40" s="34">
        <v>46311</v>
      </c>
      <c r="K40" s="34">
        <v>46317</v>
      </c>
      <c r="L40" s="34"/>
      <c r="M40" s="17"/>
      <c r="N40" s="17">
        <f t="shared" si="3"/>
        <v>1.8</v>
      </c>
      <c r="O40" s="17" t="str">
        <f t="shared" si="0"/>
        <v>Open</v>
      </c>
      <c r="P40" s="35">
        <f>IF($A40="","",IF($L40&lt;&gt;"",$L40,Settings!$C$3)-INT($B40))</f>
        <v>117</v>
      </c>
      <c r="Q40" s="17">
        <f>IF($O40&lt;&gt;"Open","",Settings!$C$3-IF($J40&lt;&gt;"",$J40,INT($B40)))</f>
        <v>3</v>
      </c>
      <c r="R40" s="17" t="str">
        <f>IF($A40="","",IF($O40="Closed","Closed",IF($F40="Unassigned","Unassigned",IF(AND($K40&lt;&gt;"",$K40&lt;Settings!$C$3),"Overdue",IF($Q40&gt;=Settings!$C$4,"Inactive","On Track")))))</f>
        <v>On Track</v>
      </c>
      <c r="S40" s="17" t="str">
        <f t="shared" si="1"/>
        <v>60+ days</v>
      </c>
      <c r="T40" s="36">
        <f t="shared" si="2"/>
        <v>46174</v>
      </c>
      <c r="U40" s="33">
        <f>IF(AND($O40="Open",OR(Dashboard!$D$3="All",$F40=Dashboard!$D$3)),$H40+ROW()/100000,0)</f>
        <v>17200.000400000001</v>
      </c>
    </row>
    <row r="41" spans="1:21" x14ac:dyDescent="0.25">
      <c r="A41" s="17" t="s">
        <v>192</v>
      </c>
      <c r="B41" s="32">
        <v>46197.493055555598</v>
      </c>
      <c r="C41" s="17" t="s">
        <v>66</v>
      </c>
      <c r="D41" s="17" t="s">
        <v>193</v>
      </c>
      <c r="E41" s="17" t="s">
        <v>138</v>
      </c>
      <c r="F41" s="17" t="s">
        <v>82</v>
      </c>
      <c r="G41" s="17" t="s">
        <v>18</v>
      </c>
      <c r="H41" s="33">
        <v>33200</v>
      </c>
      <c r="I41" s="32">
        <v>46198.159722222197</v>
      </c>
      <c r="J41" s="34">
        <v>46212</v>
      </c>
      <c r="K41" s="34"/>
      <c r="L41" s="34">
        <v>46212</v>
      </c>
      <c r="M41" s="17" t="s">
        <v>75</v>
      </c>
      <c r="N41" s="17">
        <f t="shared" si="3"/>
        <v>16</v>
      </c>
      <c r="O41" s="17" t="str">
        <f t="shared" si="0"/>
        <v>Closed</v>
      </c>
      <c r="P41" s="35">
        <f>IF($A41="","",IF($L41&lt;&gt;"",$L41,Settings!$C$3)-INT($B41))</f>
        <v>15</v>
      </c>
      <c r="Q41" s="17" t="str">
        <f>IF($O41&lt;&gt;"Open","",Settings!$C$3-IF($J41&lt;&gt;"",$J41,INT($B41)))</f>
        <v/>
      </c>
      <c r="R41" s="17" t="str">
        <f>IF($A41="","",IF($O41="Closed","Closed",IF($F41="Unassigned","Unassigned",IF(AND($K41&lt;&gt;"",$K41&lt;Settings!$C$3),"Overdue",IF($Q41&gt;=Settings!$C$4,"Inactive","On Track")))))</f>
        <v>Closed</v>
      </c>
      <c r="S41" s="17" t="str">
        <f t="shared" si="1"/>
        <v/>
      </c>
      <c r="T41" s="36">
        <f t="shared" si="2"/>
        <v>46174</v>
      </c>
      <c r="U41" s="33">
        <f>IF(AND($O41="Open",OR(Dashboard!$D$3="All",$F41=Dashboard!$D$3)),$H41+ROW()/100000,0)</f>
        <v>0</v>
      </c>
    </row>
    <row r="42" spans="1:21" x14ac:dyDescent="0.25">
      <c r="A42" s="17" t="s">
        <v>194</v>
      </c>
      <c r="B42" s="32">
        <v>46197.493055555598</v>
      </c>
      <c r="C42" s="17" t="s">
        <v>65</v>
      </c>
      <c r="D42" s="17" t="s">
        <v>195</v>
      </c>
      <c r="E42" s="17" t="s">
        <v>116</v>
      </c>
      <c r="F42" s="17" t="s">
        <v>85</v>
      </c>
      <c r="G42" s="17" t="s">
        <v>18</v>
      </c>
      <c r="H42" s="33">
        <v>21800</v>
      </c>
      <c r="I42" s="32">
        <v>46198.226388888899</v>
      </c>
      <c r="J42" s="34">
        <v>46216</v>
      </c>
      <c r="K42" s="34"/>
      <c r="L42" s="34">
        <v>46216</v>
      </c>
      <c r="M42" s="17" t="s">
        <v>73</v>
      </c>
      <c r="N42" s="17">
        <f t="shared" si="3"/>
        <v>17.600000000000001</v>
      </c>
      <c r="O42" s="17" t="str">
        <f t="shared" si="0"/>
        <v>Closed</v>
      </c>
      <c r="P42" s="35">
        <f>IF($A42="","",IF($L42&lt;&gt;"",$L42,Settings!$C$3)-INT($B42))</f>
        <v>19</v>
      </c>
      <c r="Q42" s="17" t="str">
        <f>IF($O42&lt;&gt;"Open","",Settings!$C$3-IF($J42&lt;&gt;"",$J42,INT($B42)))</f>
        <v/>
      </c>
      <c r="R42" s="17" t="str">
        <f>IF($A42="","",IF($O42="Closed","Closed",IF($F42="Unassigned","Unassigned",IF(AND($K42&lt;&gt;"",$K42&lt;Settings!$C$3),"Overdue",IF($Q42&gt;=Settings!$C$4,"Inactive","On Track")))))</f>
        <v>Closed</v>
      </c>
      <c r="S42" s="17" t="str">
        <f t="shared" si="1"/>
        <v/>
      </c>
      <c r="T42" s="36">
        <f t="shared" si="2"/>
        <v>46174</v>
      </c>
      <c r="U42" s="33">
        <f>IF(AND($O42="Open",OR(Dashboard!$D$3="All",$F42=Dashboard!$D$3)),$H42+ROW()/100000,0)</f>
        <v>0</v>
      </c>
    </row>
    <row r="43" spans="1:21" x14ac:dyDescent="0.25">
      <c r="A43" s="17" t="s">
        <v>196</v>
      </c>
      <c r="B43" s="32">
        <v>46198.486111111102</v>
      </c>
      <c r="C43" s="17" t="s">
        <v>63</v>
      </c>
      <c r="D43" s="17" t="s">
        <v>197</v>
      </c>
      <c r="E43" s="17" t="s">
        <v>138</v>
      </c>
      <c r="F43" s="17" t="s">
        <v>82</v>
      </c>
      <c r="G43" s="17" t="s">
        <v>17</v>
      </c>
      <c r="H43" s="33">
        <v>37100</v>
      </c>
      <c r="I43" s="32">
        <v>46199.386111111096</v>
      </c>
      <c r="J43" s="34">
        <v>46205</v>
      </c>
      <c r="K43" s="34"/>
      <c r="L43" s="34">
        <v>46205</v>
      </c>
      <c r="M43" s="17"/>
      <c r="N43" s="17">
        <f t="shared" si="3"/>
        <v>21.6</v>
      </c>
      <c r="O43" s="17" t="str">
        <f t="shared" si="0"/>
        <v>Closed</v>
      </c>
      <c r="P43" s="35">
        <f>IF($A43="","",IF($L43&lt;&gt;"",$L43,Settings!$C$3)-INT($B43))</f>
        <v>7</v>
      </c>
      <c r="Q43" s="17" t="str">
        <f>IF($O43&lt;&gt;"Open","",Settings!$C$3-IF($J43&lt;&gt;"",$J43,INT($B43)))</f>
        <v/>
      </c>
      <c r="R43" s="17" t="str">
        <f>IF($A43="","",IF($O43="Closed","Closed",IF($F43="Unassigned","Unassigned",IF(AND($K43&lt;&gt;"",$K43&lt;Settings!$C$3),"Overdue",IF($Q43&gt;=Settings!$C$4,"Inactive","On Track")))))</f>
        <v>Closed</v>
      </c>
      <c r="S43" s="17" t="str">
        <f t="shared" si="1"/>
        <v/>
      </c>
      <c r="T43" s="36">
        <f t="shared" si="2"/>
        <v>46174</v>
      </c>
      <c r="U43" s="33">
        <f>IF(AND($O43="Open",OR(Dashboard!$D$3="All",$F43=Dashboard!$D$3)),$H43+ROW()/100000,0)</f>
        <v>0</v>
      </c>
    </row>
    <row r="44" spans="1:21" x14ac:dyDescent="0.25">
      <c r="A44" s="17" t="s">
        <v>198</v>
      </c>
      <c r="B44" s="32">
        <v>46198.541666666701</v>
      </c>
      <c r="C44" s="17" t="s">
        <v>66</v>
      </c>
      <c r="D44" s="17" t="s">
        <v>199</v>
      </c>
      <c r="E44" s="17" t="s">
        <v>113</v>
      </c>
      <c r="F44" s="17" t="s">
        <v>81</v>
      </c>
      <c r="G44" s="17" t="s">
        <v>17</v>
      </c>
      <c r="H44" s="33">
        <v>55000</v>
      </c>
      <c r="I44" s="32">
        <v>46198.795833333301</v>
      </c>
      <c r="J44" s="34">
        <v>46209</v>
      </c>
      <c r="K44" s="34"/>
      <c r="L44" s="34">
        <v>46209</v>
      </c>
      <c r="M44" s="17"/>
      <c r="N44" s="17">
        <f t="shared" si="3"/>
        <v>6.1</v>
      </c>
      <c r="O44" s="17" t="str">
        <f t="shared" si="0"/>
        <v>Closed</v>
      </c>
      <c r="P44" s="35">
        <f>IF($A44="","",IF($L44&lt;&gt;"",$L44,Settings!$C$3)-INT($B44))</f>
        <v>11</v>
      </c>
      <c r="Q44" s="17" t="str">
        <f>IF($O44&lt;&gt;"Open","",Settings!$C$3-IF($J44&lt;&gt;"",$J44,INT($B44)))</f>
        <v/>
      </c>
      <c r="R44" s="17" t="str">
        <f>IF($A44="","",IF($O44="Closed","Closed",IF($F44="Unassigned","Unassigned",IF(AND($K44&lt;&gt;"",$K44&lt;Settings!$C$3),"Overdue",IF($Q44&gt;=Settings!$C$4,"Inactive","On Track")))))</f>
        <v>Closed</v>
      </c>
      <c r="S44" s="17" t="str">
        <f t="shared" si="1"/>
        <v/>
      </c>
      <c r="T44" s="36">
        <f t="shared" si="2"/>
        <v>46174</v>
      </c>
      <c r="U44" s="33">
        <f>IF(AND($O44="Open",OR(Dashboard!$D$3="All",$F44=Dashboard!$D$3)),$H44+ROW()/100000,0)</f>
        <v>0</v>
      </c>
    </row>
    <row r="45" spans="1:21" x14ac:dyDescent="0.25">
      <c r="A45" s="17" t="s">
        <v>200</v>
      </c>
      <c r="B45" s="32">
        <v>46198.548611111102</v>
      </c>
      <c r="C45" s="17" t="s">
        <v>64</v>
      </c>
      <c r="D45" s="17" t="s">
        <v>201</v>
      </c>
      <c r="E45" s="17" t="s">
        <v>147</v>
      </c>
      <c r="F45" s="17" t="s">
        <v>84</v>
      </c>
      <c r="G45" s="17" t="s">
        <v>17</v>
      </c>
      <c r="H45" s="33">
        <v>20800</v>
      </c>
      <c r="I45" s="32">
        <v>46200.269444444399</v>
      </c>
      <c r="J45" s="34">
        <v>46216</v>
      </c>
      <c r="K45" s="34"/>
      <c r="L45" s="34">
        <v>46216</v>
      </c>
      <c r="M45" s="17"/>
      <c r="N45" s="17">
        <f t="shared" si="3"/>
        <v>41.3</v>
      </c>
      <c r="O45" s="17" t="str">
        <f t="shared" si="0"/>
        <v>Closed</v>
      </c>
      <c r="P45" s="35">
        <f>IF($A45="","",IF($L45&lt;&gt;"",$L45,Settings!$C$3)-INT($B45))</f>
        <v>18</v>
      </c>
      <c r="Q45" s="17" t="str">
        <f>IF($O45&lt;&gt;"Open","",Settings!$C$3-IF($J45&lt;&gt;"",$J45,INT($B45)))</f>
        <v/>
      </c>
      <c r="R45" s="17" t="str">
        <f>IF($A45="","",IF($O45="Closed","Closed",IF($F45="Unassigned","Unassigned",IF(AND($K45&lt;&gt;"",$K45&lt;Settings!$C$3),"Overdue",IF($Q45&gt;=Settings!$C$4,"Inactive","On Track")))))</f>
        <v>Closed</v>
      </c>
      <c r="S45" s="17" t="str">
        <f t="shared" si="1"/>
        <v/>
      </c>
      <c r="T45" s="36">
        <f t="shared" si="2"/>
        <v>46174</v>
      </c>
      <c r="U45" s="33">
        <f>IF(AND($O45="Open",OR(Dashboard!$D$3="All",$F45=Dashboard!$D$3)),$H45+ROW()/100000,0)</f>
        <v>0</v>
      </c>
    </row>
    <row r="46" spans="1:21" x14ac:dyDescent="0.25">
      <c r="A46" s="17" t="s">
        <v>202</v>
      </c>
      <c r="B46" s="32">
        <v>46198.5625</v>
      </c>
      <c r="C46" s="17" t="s">
        <v>67</v>
      </c>
      <c r="D46" s="17" t="s">
        <v>203</v>
      </c>
      <c r="E46" s="17" t="s">
        <v>123</v>
      </c>
      <c r="F46" s="17" t="s">
        <v>82</v>
      </c>
      <c r="G46" s="17" t="s">
        <v>47</v>
      </c>
      <c r="H46" s="33">
        <v>8500</v>
      </c>
      <c r="I46" s="32">
        <v>46198.683333333298</v>
      </c>
      <c r="J46" s="34">
        <v>46313</v>
      </c>
      <c r="K46" s="34">
        <v>46318</v>
      </c>
      <c r="L46" s="34"/>
      <c r="M46" s="17"/>
      <c r="N46" s="17">
        <f t="shared" si="3"/>
        <v>2.9</v>
      </c>
      <c r="O46" s="17" t="str">
        <f t="shared" si="0"/>
        <v>Open</v>
      </c>
      <c r="P46" s="35">
        <f>IF($A46="","",IF($L46&lt;&gt;"",$L46,Settings!$C$3)-INT($B46))</f>
        <v>116</v>
      </c>
      <c r="Q46" s="17">
        <f>IF($O46&lt;&gt;"Open","",Settings!$C$3-IF($J46&lt;&gt;"",$J46,INT($B46)))</f>
        <v>1</v>
      </c>
      <c r="R46" s="17" t="str">
        <f>IF($A46="","",IF($O46="Closed","Closed",IF($F46="Unassigned","Unassigned",IF(AND($K46&lt;&gt;"",$K46&lt;Settings!$C$3),"Overdue",IF($Q46&gt;=Settings!$C$4,"Inactive","On Track")))))</f>
        <v>On Track</v>
      </c>
      <c r="S46" s="17" t="str">
        <f t="shared" si="1"/>
        <v>60+ days</v>
      </c>
      <c r="T46" s="36">
        <f t="shared" si="2"/>
        <v>46174</v>
      </c>
      <c r="U46" s="33">
        <f>IF(AND($O46="Open",OR(Dashboard!$D$3="All",$F46=Dashboard!$D$3)),$H46+ROW()/100000,0)</f>
        <v>8500.0004599999993</v>
      </c>
    </row>
    <row r="47" spans="1:21" x14ac:dyDescent="0.25">
      <c r="A47" s="17" t="s">
        <v>204</v>
      </c>
      <c r="B47" s="32">
        <v>46199.395833333299</v>
      </c>
      <c r="C47" s="17" t="s">
        <v>65</v>
      </c>
      <c r="D47" s="17" t="s">
        <v>205</v>
      </c>
      <c r="E47" s="17" t="s">
        <v>138</v>
      </c>
      <c r="F47" s="17" t="s">
        <v>81</v>
      </c>
      <c r="G47" s="17" t="s">
        <v>18</v>
      </c>
      <c r="H47" s="33">
        <v>46000</v>
      </c>
      <c r="I47" s="32">
        <v>46199.887499999997</v>
      </c>
      <c r="J47" s="34">
        <v>46215</v>
      </c>
      <c r="K47" s="34"/>
      <c r="L47" s="34">
        <v>46215</v>
      </c>
      <c r="M47" s="17" t="s">
        <v>75</v>
      </c>
      <c r="N47" s="17">
        <f t="shared" si="3"/>
        <v>11.8</v>
      </c>
      <c r="O47" s="17" t="str">
        <f t="shared" si="0"/>
        <v>Closed</v>
      </c>
      <c r="P47" s="35">
        <f>IF($A47="","",IF($L47&lt;&gt;"",$L47,Settings!$C$3)-INT($B47))</f>
        <v>16</v>
      </c>
      <c r="Q47" s="17" t="str">
        <f>IF($O47&lt;&gt;"Open","",Settings!$C$3-IF($J47&lt;&gt;"",$J47,INT($B47)))</f>
        <v/>
      </c>
      <c r="R47" s="17" t="str">
        <f>IF($A47="","",IF($O47="Closed","Closed",IF($F47="Unassigned","Unassigned",IF(AND($K47&lt;&gt;"",$K47&lt;Settings!$C$3),"Overdue",IF($Q47&gt;=Settings!$C$4,"Inactive","On Track")))))</f>
        <v>Closed</v>
      </c>
      <c r="S47" s="17" t="str">
        <f t="shared" si="1"/>
        <v/>
      </c>
      <c r="T47" s="36">
        <f t="shared" si="2"/>
        <v>46174</v>
      </c>
      <c r="U47" s="33">
        <f>IF(AND($O47="Open",OR(Dashboard!$D$3="All",$F47=Dashboard!$D$3)),$H47+ROW()/100000,0)</f>
        <v>0</v>
      </c>
    </row>
    <row r="48" spans="1:21" x14ac:dyDescent="0.25">
      <c r="A48" s="17" t="s">
        <v>206</v>
      </c>
      <c r="B48" s="32">
        <v>46199.548611111102</v>
      </c>
      <c r="C48" s="17" t="s">
        <v>64</v>
      </c>
      <c r="D48" s="17" t="s">
        <v>207</v>
      </c>
      <c r="E48" s="17" t="s">
        <v>147</v>
      </c>
      <c r="F48" s="17" t="s">
        <v>81</v>
      </c>
      <c r="G48" s="17" t="s">
        <v>17</v>
      </c>
      <c r="H48" s="33">
        <v>53900</v>
      </c>
      <c r="I48" s="32">
        <v>46199.798611111102</v>
      </c>
      <c r="J48" s="34">
        <v>46221</v>
      </c>
      <c r="K48" s="34"/>
      <c r="L48" s="34">
        <v>46221</v>
      </c>
      <c r="M48" s="17"/>
      <c r="N48" s="17">
        <f t="shared" si="3"/>
        <v>6</v>
      </c>
      <c r="O48" s="17" t="str">
        <f t="shared" si="0"/>
        <v>Closed</v>
      </c>
      <c r="P48" s="35">
        <f>IF($A48="","",IF($L48&lt;&gt;"",$L48,Settings!$C$3)-INT($B48))</f>
        <v>22</v>
      </c>
      <c r="Q48" s="17" t="str">
        <f>IF($O48&lt;&gt;"Open","",Settings!$C$3-IF($J48&lt;&gt;"",$J48,INT($B48)))</f>
        <v/>
      </c>
      <c r="R48" s="17" t="str">
        <f>IF($A48="","",IF($O48="Closed","Closed",IF($F48="Unassigned","Unassigned",IF(AND($K48&lt;&gt;"",$K48&lt;Settings!$C$3),"Overdue",IF($Q48&gt;=Settings!$C$4,"Inactive","On Track")))))</f>
        <v>Closed</v>
      </c>
      <c r="S48" s="17" t="str">
        <f t="shared" si="1"/>
        <v/>
      </c>
      <c r="T48" s="36">
        <f t="shared" si="2"/>
        <v>46174</v>
      </c>
      <c r="U48" s="33">
        <f>IF(AND($O48="Open",OR(Dashboard!$D$3="All",$F48=Dashboard!$D$3)),$H48+ROW()/100000,0)</f>
        <v>0</v>
      </c>
    </row>
    <row r="49" spans="1:21" x14ac:dyDescent="0.25">
      <c r="A49" s="17" t="s">
        <v>208</v>
      </c>
      <c r="B49" s="32">
        <v>46199.569444444503</v>
      </c>
      <c r="C49" s="17" t="s">
        <v>66</v>
      </c>
      <c r="D49" s="17" t="s">
        <v>209</v>
      </c>
      <c r="E49" s="17" t="s">
        <v>113</v>
      </c>
      <c r="F49" s="17" t="s">
        <v>85</v>
      </c>
      <c r="G49" s="17" t="s">
        <v>18</v>
      </c>
      <c r="H49" s="33">
        <v>56900</v>
      </c>
      <c r="I49" s="32">
        <v>46199.706944444399</v>
      </c>
      <c r="J49" s="34">
        <v>46229</v>
      </c>
      <c r="K49" s="34"/>
      <c r="L49" s="34">
        <v>46229</v>
      </c>
      <c r="M49" s="17" t="s">
        <v>74</v>
      </c>
      <c r="N49" s="17">
        <f t="shared" si="3"/>
        <v>3.3</v>
      </c>
      <c r="O49" s="17" t="str">
        <f t="shared" si="0"/>
        <v>Closed</v>
      </c>
      <c r="P49" s="35">
        <f>IF($A49="","",IF($L49&lt;&gt;"",$L49,Settings!$C$3)-INT($B49))</f>
        <v>30</v>
      </c>
      <c r="Q49" s="17" t="str">
        <f>IF($O49&lt;&gt;"Open","",Settings!$C$3-IF($J49&lt;&gt;"",$J49,INT($B49)))</f>
        <v/>
      </c>
      <c r="R49" s="17" t="str">
        <f>IF($A49="","",IF($O49="Closed","Closed",IF($F49="Unassigned","Unassigned",IF(AND($K49&lt;&gt;"",$K49&lt;Settings!$C$3),"Overdue",IF($Q49&gt;=Settings!$C$4,"Inactive","On Track")))))</f>
        <v>Closed</v>
      </c>
      <c r="S49" s="17" t="str">
        <f t="shared" si="1"/>
        <v/>
      </c>
      <c r="T49" s="36">
        <f t="shared" si="2"/>
        <v>46174</v>
      </c>
      <c r="U49" s="33">
        <f>IF(AND($O49="Open",OR(Dashboard!$D$3="All",$F49=Dashboard!$D$3)),$H49+ROW()/100000,0)</f>
        <v>0</v>
      </c>
    </row>
    <row r="50" spans="1:21" x14ac:dyDescent="0.25">
      <c r="A50" s="17" t="s">
        <v>210</v>
      </c>
      <c r="B50" s="32">
        <v>46199.701388888898</v>
      </c>
      <c r="C50" s="17" t="s">
        <v>62</v>
      </c>
      <c r="D50" s="17" t="s">
        <v>211</v>
      </c>
      <c r="E50" s="17" t="s">
        <v>110</v>
      </c>
      <c r="F50" s="17" t="s">
        <v>84</v>
      </c>
      <c r="G50" s="17" t="s">
        <v>17</v>
      </c>
      <c r="H50" s="33">
        <v>37600</v>
      </c>
      <c r="I50" s="32">
        <v>46200.109722222202</v>
      </c>
      <c r="J50" s="34">
        <v>46227</v>
      </c>
      <c r="K50" s="34"/>
      <c r="L50" s="34">
        <v>46227</v>
      </c>
      <c r="M50" s="17"/>
      <c r="N50" s="17">
        <f t="shared" si="3"/>
        <v>9.8000000000000007</v>
      </c>
      <c r="O50" s="17" t="str">
        <f t="shared" si="0"/>
        <v>Closed</v>
      </c>
      <c r="P50" s="35">
        <f>IF($A50="","",IF($L50&lt;&gt;"",$L50,Settings!$C$3)-INT($B50))</f>
        <v>28</v>
      </c>
      <c r="Q50" s="17" t="str">
        <f>IF($O50&lt;&gt;"Open","",Settings!$C$3-IF($J50&lt;&gt;"",$J50,INT($B50)))</f>
        <v/>
      </c>
      <c r="R50" s="17" t="str">
        <f>IF($A50="","",IF($O50="Closed","Closed",IF($F50="Unassigned","Unassigned",IF(AND($K50&lt;&gt;"",$K50&lt;Settings!$C$3),"Overdue",IF($Q50&gt;=Settings!$C$4,"Inactive","On Track")))))</f>
        <v>Closed</v>
      </c>
      <c r="S50" s="17" t="str">
        <f t="shared" si="1"/>
        <v/>
      </c>
      <c r="T50" s="36">
        <f t="shared" si="2"/>
        <v>46174</v>
      </c>
      <c r="U50" s="33">
        <f>IF(AND($O50="Open",OR(Dashboard!$D$3="All",$F50=Dashboard!$D$3)),$H50+ROW()/100000,0)</f>
        <v>0</v>
      </c>
    </row>
    <row r="51" spans="1:21" x14ac:dyDescent="0.25">
      <c r="A51" s="17" t="s">
        <v>212</v>
      </c>
      <c r="B51" s="32">
        <v>46199.729166666701</v>
      </c>
      <c r="C51" s="17" t="s">
        <v>64</v>
      </c>
      <c r="D51" s="17" t="s">
        <v>213</v>
      </c>
      <c r="E51" s="17" t="s">
        <v>113</v>
      </c>
      <c r="F51" s="17" t="s">
        <v>82</v>
      </c>
      <c r="G51" s="17" t="s">
        <v>17</v>
      </c>
      <c r="H51" s="33">
        <v>2900</v>
      </c>
      <c r="I51" s="32">
        <v>46200.112500000003</v>
      </c>
      <c r="J51" s="34">
        <v>46217</v>
      </c>
      <c r="K51" s="34"/>
      <c r="L51" s="34">
        <v>46217</v>
      </c>
      <c r="M51" s="17"/>
      <c r="N51" s="17">
        <f t="shared" si="3"/>
        <v>9.1999999999999993</v>
      </c>
      <c r="O51" s="17" t="str">
        <f t="shared" si="0"/>
        <v>Closed</v>
      </c>
      <c r="P51" s="35">
        <f>IF($A51="","",IF($L51&lt;&gt;"",$L51,Settings!$C$3)-INT($B51))</f>
        <v>18</v>
      </c>
      <c r="Q51" s="17" t="str">
        <f>IF($O51&lt;&gt;"Open","",Settings!$C$3-IF($J51&lt;&gt;"",$J51,INT($B51)))</f>
        <v/>
      </c>
      <c r="R51" s="17" t="str">
        <f>IF($A51="","",IF($O51="Closed","Closed",IF($F51="Unassigned","Unassigned",IF(AND($K51&lt;&gt;"",$K51&lt;Settings!$C$3),"Overdue",IF($Q51&gt;=Settings!$C$4,"Inactive","On Track")))))</f>
        <v>Closed</v>
      </c>
      <c r="S51" s="17" t="str">
        <f t="shared" si="1"/>
        <v/>
      </c>
      <c r="T51" s="36">
        <f t="shared" si="2"/>
        <v>46174</v>
      </c>
      <c r="U51" s="33">
        <f>IF(AND($O51="Open",OR(Dashboard!$D$3="All",$F51=Dashboard!$D$3)),$H51+ROW()/100000,0)</f>
        <v>0</v>
      </c>
    </row>
    <row r="52" spans="1:21" x14ac:dyDescent="0.25">
      <c r="A52" s="17" t="s">
        <v>214</v>
      </c>
      <c r="B52" s="32">
        <v>46200.430555555598</v>
      </c>
      <c r="C52" s="17" t="s">
        <v>68</v>
      </c>
      <c r="D52" s="17" t="s">
        <v>215</v>
      </c>
      <c r="E52" s="17" t="s">
        <v>110</v>
      </c>
      <c r="F52" s="17" t="s">
        <v>83</v>
      </c>
      <c r="G52" s="17" t="s">
        <v>18</v>
      </c>
      <c r="H52" s="33">
        <v>18400</v>
      </c>
      <c r="I52" s="32">
        <v>46200.684722222199</v>
      </c>
      <c r="J52" s="34">
        <v>46204</v>
      </c>
      <c r="K52" s="34"/>
      <c r="L52" s="34">
        <v>46204</v>
      </c>
      <c r="M52" s="17" t="s">
        <v>73</v>
      </c>
      <c r="N52" s="17">
        <f t="shared" si="3"/>
        <v>6.1</v>
      </c>
      <c r="O52" s="17" t="str">
        <f t="shared" si="0"/>
        <v>Closed</v>
      </c>
      <c r="P52" s="35">
        <f>IF($A52="","",IF($L52&lt;&gt;"",$L52,Settings!$C$3)-INT($B52))</f>
        <v>4</v>
      </c>
      <c r="Q52" s="17" t="str">
        <f>IF($O52&lt;&gt;"Open","",Settings!$C$3-IF($J52&lt;&gt;"",$J52,INT($B52)))</f>
        <v/>
      </c>
      <c r="R52" s="17" t="str">
        <f>IF($A52="","",IF($O52="Closed","Closed",IF($F52="Unassigned","Unassigned",IF(AND($K52&lt;&gt;"",$K52&lt;Settings!$C$3),"Overdue",IF($Q52&gt;=Settings!$C$4,"Inactive","On Track")))))</f>
        <v>Closed</v>
      </c>
      <c r="S52" s="17" t="str">
        <f t="shared" si="1"/>
        <v/>
      </c>
      <c r="T52" s="36">
        <f t="shared" si="2"/>
        <v>46174</v>
      </c>
      <c r="U52" s="33">
        <f>IF(AND($O52="Open",OR(Dashboard!$D$3="All",$F52=Dashboard!$D$3)),$H52+ROW()/100000,0)</f>
        <v>0</v>
      </c>
    </row>
    <row r="53" spans="1:21" x14ac:dyDescent="0.25">
      <c r="A53" s="17" t="s">
        <v>216</v>
      </c>
      <c r="B53" s="32">
        <v>46200.569444444503</v>
      </c>
      <c r="C53" s="17" t="s">
        <v>62</v>
      </c>
      <c r="D53" s="17" t="s">
        <v>217</v>
      </c>
      <c r="E53" s="17" t="s">
        <v>110</v>
      </c>
      <c r="F53" s="17" t="s">
        <v>83</v>
      </c>
      <c r="G53" s="17" t="s">
        <v>48</v>
      </c>
      <c r="H53" s="33">
        <v>33600</v>
      </c>
      <c r="I53" s="32">
        <v>46200.819444444503</v>
      </c>
      <c r="J53" s="34">
        <v>46312</v>
      </c>
      <c r="K53" s="34">
        <v>46317</v>
      </c>
      <c r="L53" s="34"/>
      <c r="M53" s="17"/>
      <c r="N53" s="17">
        <f t="shared" si="3"/>
        <v>6</v>
      </c>
      <c r="O53" s="17" t="str">
        <f t="shared" si="0"/>
        <v>Open</v>
      </c>
      <c r="P53" s="35">
        <f>IF($A53="","",IF($L53&lt;&gt;"",$L53,Settings!$C$3)-INT($B53))</f>
        <v>114</v>
      </c>
      <c r="Q53" s="17">
        <f>IF($O53&lt;&gt;"Open","",Settings!$C$3-IF($J53&lt;&gt;"",$J53,INT($B53)))</f>
        <v>2</v>
      </c>
      <c r="R53" s="17" t="str">
        <f>IF($A53="","",IF($O53="Closed","Closed",IF($F53="Unassigned","Unassigned",IF(AND($K53&lt;&gt;"",$K53&lt;Settings!$C$3),"Overdue",IF($Q53&gt;=Settings!$C$4,"Inactive","On Track")))))</f>
        <v>On Track</v>
      </c>
      <c r="S53" s="17" t="str">
        <f t="shared" si="1"/>
        <v>60+ days</v>
      </c>
      <c r="T53" s="36">
        <f t="shared" si="2"/>
        <v>46174</v>
      </c>
      <c r="U53" s="33">
        <f>IF(AND($O53="Open",OR(Dashboard!$D$3="All",$F53=Dashboard!$D$3)),$H53+ROW()/100000,0)</f>
        <v>33600.000529999998</v>
      </c>
    </row>
    <row r="54" spans="1:21" x14ac:dyDescent="0.25">
      <c r="A54" s="17" t="s">
        <v>218</v>
      </c>
      <c r="B54" s="32">
        <v>46200.736111111102</v>
      </c>
      <c r="C54" s="17" t="s">
        <v>66</v>
      </c>
      <c r="D54" s="17" t="s">
        <v>219</v>
      </c>
      <c r="E54" s="17" t="s">
        <v>110</v>
      </c>
      <c r="F54" s="17" t="s">
        <v>81</v>
      </c>
      <c r="G54" s="17" t="s">
        <v>17</v>
      </c>
      <c r="H54" s="33">
        <v>51700</v>
      </c>
      <c r="I54" s="32">
        <v>46200.848611111098</v>
      </c>
      <c r="J54" s="34">
        <v>46223</v>
      </c>
      <c r="K54" s="34"/>
      <c r="L54" s="34">
        <v>46223</v>
      </c>
      <c r="M54" s="17"/>
      <c r="N54" s="17">
        <f t="shared" si="3"/>
        <v>2.7</v>
      </c>
      <c r="O54" s="17" t="str">
        <f t="shared" si="0"/>
        <v>Closed</v>
      </c>
      <c r="P54" s="35">
        <f>IF($A54="","",IF($L54&lt;&gt;"",$L54,Settings!$C$3)-INT($B54))</f>
        <v>23</v>
      </c>
      <c r="Q54" s="17" t="str">
        <f>IF($O54&lt;&gt;"Open","",Settings!$C$3-IF($J54&lt;&gt;"",$J54,INT($B54)))</f>
        <v/>
      </c>
      <c r="R54" s="17" t="str">
        <f>IF($A54="","",IF($O54="Closed","Closed",IF($F54="Unassigned","Unassigned",IF(AND($K54&lt;&gt;"",$K54&lt;Settings!$C$3),"Overdue",IF($Q54&gt;=Settings!$C$4,"Inactive","On Track")))))</f>
        <v>Closed</v>
      </c>
      <c r="S54" s="17" t="str">
        <f t="shared" si="1"/>
        <v/>
      </c>
      <c r="T54" s="36">
        <f t="shared" si="2"/>
        <v>46174</v>
      </c>
      <c r="U54" s="33">
        <f>IF(AND($O54="Open",OR(Dashboard!$D$3="All",$F54=Dashboard!$D$3)),$H54+ROW()/100000,0)</f>
        <v>0</v>
      </c>
    </row>
    <row r="55" spans="1:21" x14ac:dyDescent="0.25">
      <c r="A55" s="17" t="s">
        <v>220</v>
      </c>
      <c r="B55" s="32">
        <v>46200.743055555598</v>
      </c>
      <c r="C55" s="17" t="s">
        <v>63</v>
      </c>
      <c r="D55" s="17" t="s">
        <v>221</v>
      </c>
      <c r="E55" s="17" t="s">
        <v>123</v>
      </c>
      <c r="F55" s="17" t="s">
        <v>82</v>
      </c>
      <c r="G55" s="17" t="s">
        <v>17</v>
      </c>
      <c r="H55" s="33">
        <v>8400</v>
      </c>
      <c r="I55" s="32">
        <v>46202.797222222202</v>
      </c>
      <c r="J55" s="34">
        <v>46232</v>
      </c>
      <c r="K55" s="34"/>
      <c r="L55" s="34">
        <v>46232</v>
      </c>
      <c r="M55" s="17"/>
      <c r="N55" s="17">
        <f t="shared" si="3"/>
        <v>49.3</v>
      </c>
      <c r="O55" s="17" t="str">
        <f t="shared" si="0"/>
        <v>Closed</v>
      </c>
      <c r="P55" s="35">
        <f>IF($A55="","",IF($L55&lt;&gt;"",$L55,Settings!$C$3)-INT($B55))</f>
        <v>32</v>
      </c>
      <c r="Q55" s="17" t="str">
        <f>IF($O55&lt;&gt;"Open","",Settings!$C$3-IF($J55&lt;&gt;"",$J55,INT($B55)))</f>
        <v/>
      </c>
      <c r="R55" s="17" t="str">
        <f>IF($A55="","",IF($O55="Closed","Closed",IF($F55="Unassigned","Unassigned",IF(AND($K55&lt;&gt;"",$K55&lt;Settings!$C$3),"Overdue",IF($Q55&gt;=Settings!$C$4,"Inactive","On Track")))))</f>
        <v>Closed</v>
      </c>
      <c r="S55" s="17" t="str">
        <f t="shared" si="1"/>
        <v/>
      </c>
      <c r="T55" s="36">
        <f t="shared" si="2"/>
        <v>46174</v>
      </c>
      <c r="U55" s="33">
        <f>IF(AND($O55="Open",OR(Dashboard!$D$3="All",$F55=Dashboard!$D$3)),$H55+ROW()/100000,0)</f>
        <v>0</v>
      </c>
    </row>
    <row r="56" spans="1:21" x14ac:dyDescent="0.25">
      <c r="A56" s="17" t="s">
        <v>222</v>
      </c>
      <c r="B56" s="32">
        <v>46201.479166666701</v>
      </c>
      <c r="C56" s="17" t="s">
        <v>64</v>
      </c>
      <c r="D56" s="17" t="s">
        <v>223</v>
      </c>
      <c r="E56" s="17" t="s">
        <v>113</v>
      </c>
      <c r="F56" s="17" t="s">
        <v>80</v>
      </c>
      <c r="G56" s="17" t="s">
        <v>18</v>
      </c>
      <c r="H56" s="33">
        <v>19600</v>
      </c>
      <c r="I56" s="32">
        <v>46201.5625</v>
      </c>
      <c r="J56" s="34">
        <v>46234</v>
      </c>
      <c r="K56" s="34"/>
      <c r="L56" s="34">
        <v>46234</v>
      </c>
      <c r="M56" s="17" t="s">
        <v>73</v>
      </c>
      <c r="N56" s="17">
        <f t="shared" si="3"/>
        <v>2</v>
      </c>
      <c r="O56" s="17" t="str">
        <f t="shared" si="0"/>
        <v>Closed</v>
      </c>
      <c r="P56" s="35">
        <f>IF($A56="","",IF($L56&lt;&gt;"",$L56,Settings!$C$3)-INT($B56))</f>
        <v>33</v>
      </c>
      <c r="Q56" s="17" t="str">
        <f>IF($O56&lt;&gt;"Open","",Settings!$C$3-IF($J56&lt;&gt;"",$J56,INT($B56)))</f>
        <v/>
      </c>
      <c r="R56" s="17" t="str">
        <f>IF($A56="","",IF($O56="Closed","Closed",IF($F56="Unassigned","Unassigned",IF(AND($K56&lt;&gt;"",$K56&lt;Settings!$C$3),"Overdue",IF($Q56&gt;=Settings!$C$4,"Inactive","On Track")))))</f>
        <v>Closed</v>
      </c>
      <c r="S56" s="17" t="str">
        <f t="shared" si="1"/>
        <v/>
      </c>
      <c r="T56" s="36">
        <f t="shared" si="2"/>
        <v>46174</v>
      </c>
      <c r="U56" s="33">
        <f>IF(AND($O56="Open",OR(Dashboard!$D$3="All",$F56=Dashboard!$D$3)),$H56+ROW()/100000,0)</f>
        <v>0</v>
      </c>
    </row>
    <row r="57" spans="1:21" x14ac:dyDescent="0.25">
      <c r="A57" s="17" t="s">
        <v>224</v>
      </c>
      <c r="B57" s="32">
        <v>46201.583333333299</v>
      </c>
      <c r="C57" s="17" t="s">
        <v>63</v>
      </c>
      <c r="D57" s="17" t="s">
        <v>225</v>
      </c>
      <c r="E57" s="17" t="s">
        <v>116</v>
      </c>
      <c r="F57" s="17" t="s">
        <v>83</v>
      </c>
      <c r="G57" s="17" t="s">
        <v>17</v>
      </c>
      <c r="H57" s="33">
        <v>37900</v>
      </c>
      <c r="I57" s="32">
        <v>46203.645833333299</v>
      </c>
      <c r="J57" s="34">
        <v>46241</v>
      </c>
      <c r="K57" s="34"/>
      <c r="L57" s="34">
        <v>46241</v>
      </c>
      <c r="M57" s="17"/>
      <c r="N57" s="17">
        <f t="shared" si="3"/>
        <v>49.5</v>
      </c>
      <c r="O57" s="17" t="str">
        <f t="shared" si="0"/>
        <v>Closed</v>
      </c>
      <c r="P57" s="35">
        <f>IF($A57="","",IF($L57&lt;&gt;"",$L57,Settings!$C$3)-INT($B57))</f>
        <v>40</v>
      </c>
      <c r="Q57" s="17" t="str">
        <f>IF($O57&lt;&gt;"Open","",Settings!$C$3-IF($J57&lt;&gt;"",$J57,INT($B57)))</f>
        <v/>
      </c>
      <c r="R57" s="17" t="str">
        <f>IF($A57="","",IF($O57="Closed","Closed",IF($F57="Unassigned","Unassigned",IF(AND($K57&lt;&gt;"",$K57&lt;Settings!$C$3),"Overdue",IF($Q57&gt;=Settings!$C$4,"Inactive","On Track")))))</f>
        <v>Closed</v>
      </c>
      <c r="S57" s="17" t="str">
        <f t="shared" si="1"/>
        <v/>
      </c>
      <c r="T57" s="36">
        <f t="shared" si="2"/>
        <v>46174</v>
      </c>
      <c r="U57" s="33">
        <f>IF(AND($O57="Open",OR(Dashboard!$D$3="All",$F57=Dashboard!$D$3)),$H57+ROW()/100000,0)</f>
        <v>0</v>
      </c>
    </row>
    <row r="58" spans="1:21" x14ac:dyDescent="0.25">
      <c r="A58" s="17" t="s">
        <v>226</v>
      </c>
      <c r="B58" s="32">
        <v>46202.368055555598</v>
      </c>
      <c r="C58" s="17" t="s">
        <v>64</v>
      </c>
      <c r="D58" s="17" t="s">
        <v>227</v>
      </c>
      <c r="E58" s="17" t="s">
        <v>138</v>
      </c>
      <c r="F58" s="17" t="s">
        <v>82</v>
      </c>
      <c r="G58" s="17" t="s">
        <v>18</v>
      </c>
      <c r="H58" s="33">
        <v>42400</v>
      </c>
      <c r="I58" s="32">
        <v>46202.622222222199</v>
      </c>
      <c r="J58" s="34">
        <v>46207</v>
      </c>
      <c r="K58" s="34"/>
      <c r="L58" s="34">
        <v>46207</v>
      </c>
      <c r="M58" s="17" t="s">
        <v>77</v>
      </c>
      <c r="N58" s="17">
        <f t="shared" si="3"/>
        <v>6.1</v>
      </c>
      <c r="O58" s="17" t="str">
        <f t="shared" si="0"/>
        <v>Closed</v>
      </c>
      <c r="P58" s="35">
        <f>IF($A58="","",IF($L58&lt;&gt;"",$L58,Settings!$C$3)-INT($B58))</f>
        <v>5</v>
      </c>
      <c r="Q58" s="17" t="str">
        <f>IF($O58&lt;&gt;"Open","",Settings!$C$3-IF($J58&lt;&gt;"",$J58,INT($B58)))</f>
        <v/>
      </c>
      <c r="R58" s="17" t="str">
        <f>IF($A58="","",IF($O58="Closed","Closed",IF($F58="Unassigned","Unassigned",IF(AND($K58&lt;&gt;"",$K58&lt;Settings!$C$3),"Overdue",IF($Q58&gt;=Settings!$C$4,"Inactive","On Track")))))</f>
        <v>Closed</v>
      </c>
      <c r="S58" s="17" t="str">
        <f t="shared" si="1"/>
        <v/>
      </c>
      <c r="T58" s="36">
        <f t="shared" si="2"/>
        <v>46174</v>
      </c>
      <c r="U58" s="33">
        <f>IF(AND($O58="Open",OR(Dashboard!$D$3="All",$F58=Dashboard!$D$3)),$H58+ROW()/100000,0)</f>
        <v>0</v>
      </c>
    </row>
    <row r="59" spans="1:21" x14ac:dyDescent="0.25">
      <c r="A59" s="17" t="s">
        <v>228</v>
      </c>
      <c r="B59" s="32">
        <v>46202.652777777803</v>
      </c>
      <c r="C59" s="17" t="s">
        <v>63</v>
      </c>
      <c r="D59" s="17" t="s">
        <v>229</v>
      </c>
      <c r="E59" s="17" t="s">
        <v>147</v>
      </c>
      <c r="F59" s="17" t="s">
        <v>84</v>
      </c>
      <c r="G59" s="17" t="s">
        <v>17</v>
      </c>
      <c r="H59" s="33">
        <v>96200</v>
      </c>
      <c r="I59" s="32">
        <v>46202.831944444399</v>
      </c>
      <c r="J59" s="34">
        <v>46212</v>
      </c>
      <c r="K59" s="34"/>
      <c r="L59" s="34">
        <v>46212</v>
      </c>
      <c r="M59" s="17"/>
      <c r="N59" s="17">
        <f t="shared" si="3"/>
        <v>4.3</v>
      </c>
      <c r="O59" s="17" t="str">
        <f t="shared" si="0"/>
        <v>Closed</v>
      </c>
      <c r="P59" s="35">
        <f>IF($A59="","",IF($L59&lt;&gt;"",$L59,Settings!$C$3)-INT($B59))</f>
        <v>10</v>
      </c>
      <c r="Q59" s="17" t="str">
        <f>IF($O59&lt;&gt;"Open","",Settings!$C$3-IF($J59&lt;&gt;"",$J59,INT($B59)))</f>
        <v/>
      </c>
      <c r="R59" s="17" t="str">
        <f>IF($A59="","",IF($O59="Closed","Closed",IF($F59="Unassigned","Unassigned",IF(AND($K59&lt;&gt;"",$K59&lt;Settings!$C$3),"Overdue",IF($Q59&gt;=Settings!$C$4,"Inactive","On Track")))))</f>
        <v>Closed</v>
      </c>
      <c r="S59" s="17" t="str">
        <f t="shared" si="1"/>
        <v/>
      </c>
      <c r="T59" s="36">
        <f t="shared" si="2"/>
        <v>46174</v>
      </c>
      <c r="U59" s="33">
        <f>IF(AND($O59="Open",OR(Dashboard!$D$3="All",$F59=Dashboard!$D$3)),$H59+ROW()/100000,0)</f>
        <v>0</v>
      </c>
    </row>
    <row r="60" spans="1:21" x14ac:dyDescent="0.25">
      <c r="A60" s="17" t="s">
        <v>230</v>
      </c>
      <c r="B60" s="32">
        <v>46203.430555555598</v>
      </c>
      <c r="C60" s="17" t="s">
        <v>66</v>
      </c>
      <c r="D60" s="17" t="s">
        <v>231</v>
      </c>
      <c r="E60" s="17" t="s">
        <v>113</v>
      </c>
      <c r="F60" s="17" t="s">
        <v>80</v>
      </c>
      <c r="G60" s="17" t="s">
        <v>18</v>
      </c>
      <c r="H60" s="33">
        <v>18900</v>
      </c>
      <c r="I60" s="32">
        <v>46204.0180555556</v>
      </c>
      <c r="J60" s="34">
        <v>46225</v>
      </c>
      <c r="K60" s="34"/>
      <c r="L60" s="34">
        <v>46225</v>
      </c>
      <c r="M60" s="17" t="s">
        <v>74</v>
      </c>
      <c r="N60" s="17">
        <f t="shared" si="3"/>
        <v>14.1</v>
      </c>
      <c r="O60" s="17" t="str">
        <f t="shared" si="0"/>
        <v>Closed</v>
      </c>
      <c r="P60" s="35">
        <f>IF($A60="","",IF($L60&lt;&gt;"",$L60,Settings!$C$3)-INT($B60))</f>
        <v>22</v>
      </c>
      <c r="Q60" s="17" t="str">
        <f>IF($O60&lt;&gt;"Open","",Settings!$C$3-IF($J60&lt;&gt;"",$J60,INT($B60)))</f>
        <v/>
      </c>
      <c r="R60" s="17" t="str">
        <f>IF($A60="","",IF($O60="Closed","Closed",IF($F60="Unassigned","Unassigned",IF(AND($K60&lt;&gt;"",$K60&lt;Settings!$C$3),"Overdue",IF($Q60&gt;=Settings!$C$4,"Inactive","On Track")))))</f>
        <v>Closed</v>
      </c>
      <c r="S60" s="17" t="str">
        <f t="shared" si="1"/>
        <v/>
      </c>
      <c r="T60" s="36">
        <f t="shared" si="2"/>
        <v>46174</v>
      </c>
      <c r="U60" s="33">
        <f>IF(AND($O60="Open",OR(Dashboard!$D$3="All",$F60=Dashboard!$D$3)),$H60+ROW()/100000,0)</f>
        <v>0</v>
      </c>
    </row>
    <row r="61" spans="1:21" x14ac:dyDescent="0.25">
      <c r="A61" s="17" t="s">
        <v>232</v>
      </c>
      <c r="B61" s="32">
        <v>46203.5625</v>
      </c>
      <c r="C61" s="17" t="s">
        <v>64</v>
      </c>
      <c r="D61" s="17" t="s">
        <v>233</v>
      </c>
      <c r="E61" s="17" t="s">
        <v>123</v>
      </c>
      <c r="F61" s="17" t="s">
        <v>80</v>
      </c>
      <c r="G61" s="17" t="s">
        <v>17</v>
      </c>
      <c r="H61" s="33">
        <v>20900</v>
      </c>
      <c r="I61" s="32">
        <v>46204.004166666702</v>
      </c>
      <c r="J61" s="34">
        <v>46237</v>
      </c>
      <c r="K61" s="34"/>
      <c r="L61" s="34">
        <v>46237</v>
      </c>
      <c r="M61" s="17"/>
      <c r="N61" s="17">
        <f t="shared" si="3"/>
        <v>10.6</v>
      </c>
      <c r="O61" s="17" t="str">
        <f t="shared" si="0"/>
        <v>Closed</v>
      </c>
      <c r="P61" s="35">
        <f>IF($A61="","",IF($L61&lt;&gt;"",$L61,Settings!$C$3)-INT($B61))</f>
        <v>34</v>
      </c>
      <c r="Q61" s="17" t="str">
        <f>IF($O61&lt;&gt;"Open","",Settings!$C$3-IF($J61&lt;&gt;"",$J61,INT($B61)))</f>
        <v/>
      </c>
      <c r="R61" s="17" t="str">
        <f>IF($A61="","",IF($O61="Closed","Closed",IF($F61="Unassigned","Unassigned",IF(AND($K61&lt;&gt;"",$K61&lt;Settings!$C$3),"Overdue",IF($Q61&gt;=Settings!$C$4,"Inactive","On Track")))))</f>
        <v>Closed</v>
      </c>
      <c r="S61" s="17" t="str">
        <f t="shared" si="1"/>
        <v/>
      </c>
      <c r="T61" s="36">
        <f t="shared" si="2"/>
        <v>46174</v>
      </c>
      <c r="U61" s="33">
        <f>IF(AND($O61="Open",OR(Dashboard!$D$3="All",$F61=Dashboard!$D$3)),$H61+ROW()/100000,0)</f>
        <v>0</v>
      </c>
    </row>
    <row r="62" spans="1:21" x14ac:dyDescent="0.25">
      <c r="A62" s="17" t="s">
        <v>234</v>
      </c>
      <c r="B62" s="32">
        <v>46203.680555555598</v>
      </c>
      <c r="C62" s="17" t="s">
        <v>67</v>
      </c>
      <c r="D62" s="17" t="s">
        <v>235</v>
      </c>
      <c r="E62" s="17" t="s">
        <v>138</v>
      </c>
      <c r="F62" s="17" t="s">
        <v>85</v>
      </c>
      <c r="G62" s="17" t="s">
        <v>18</v>
      </c>
      <c r="H62" s="33">
        <v>26900</v>
      </c>
      <c r="I62" s="32">
        <v>46203.993055555598</v>
      </c>
      <c r="J62" s="34">
        <v>46224</v>
      </c>
      <c r="K62" s="34"/>
      <c r="L62" s="34">
        <v>46224</v>
      </c>
      <c r="M62" s="17" t="s">
        <v>73</v>
      </c>
      <c r="N62" s="17">
        <f t="shared" si="3"/>
        <v>7.5</v>
      </c>
      <c r="O62" s="17" t="str">
        <f t="shared" si="0"/>
        <v>Closed</v>
      </c>
      <c r="P62" s="35">
        <f>IF($A62="","",IF($L62&lt;&gt;"",$L62,Settings!$C$3)-INT($B62))</f>
        <v>21</v>
      </c>
      <c r="Q62" s="17" t="str">
        <f>IF($O62&lt;&gt;"Open","",Settings!$C$3-IF($J62&lt;&gt;"",$J62,INT($B62)))</f>
        <v/>
      </c>
      <c r="R62" s="17" t="str">
        <f>IF($A62="","",IF($O62="Closed","Closed",IF($F62="Unassigned","Unassigned",IF(AND($K62&lt;&gt;"",$K62&lt;Settings!$C$3),"Overdue",IF($Q62&gt;=Settings!$C$4,"Inactive","On Track")))))</f>
        <v>Closed</v>
      </c>
      <c r="S62" s="17" t="str">
        <f t="shared" si="1"/>
        <v/>
      </c>
      <c r="T62" s="36">
        <f t="shared" si="2"/>
        <v>46174</v>
      </c>
      <c r="U62" s="33">
        <f>IF(AND($O62="Open",OR(Dashboard!$D$3="All",$F62=Dashboard!$D$3)),$H62+ROW()/100000,0)</f>
        <v>0</v>
      </c>
    </row>
    <row r="63" spans="1:21" x14ac:dyDescent="0.25">
      <c r="A63" s="17" t="s">
        <v>236</v>
      </c>
      <c r="B63" s="32">
        <v>46203.701388888898</v>
      </c>
      <c r="C63" s="17" t="s">
        <v>63</v>
      </c>
      <c r="D63" s="17" t="s">
        <v>237</v>
      </c>
      <c r="E63" s="17" t="s">
        <v>113</v>
      </c>
      <c r="F63" s="17" t="s">
        <v>81</v>
      </c>
      <c r="G63" s="17" t="s">
        <v>18</v>
      </c>
      <c r="H63" s="33">
        <v>37800</v>
      </c>
      <c r="I63" s="32">
        <v>46204.038888888899</v>
      </c>
      <c r="J63" s="34">
        <v>46241</v>
      </c>
      <c r="K63" s="34"/>
      <c r="L63" s="34">
        <v>46241</v>
      </c>
      <c r="M63" s="17" t="s">
        <v>74</v>
      </c>
      <c r="N63" s="17">
        <f t="shared" si="3"/>
        <v>8.1</v>
      </c>
      <c r="O63" s="17" t="str">
        <f t="shared" si="0"/>
        <v>Closed</v>
      </c>
      <c r="P63" s="35">
        <f>IF($A63="","",IF($L63&lt;&gt;"",$L63,Settings!$C$3)-INT($B63))</f>
        <v>38</v>
      </c>
      <c r="Q63" s="17" t="str">
        <f>IF($O63&lt;&gt;"Open","",Settings!$C$3-IF($J63&lt;&gt;"",$J63,INT($B63)))</f>
        <v/>
      </c>
      <c r="R63" s="17" t="str">
        <f>IF($A63="","",IF($O63="Closed","Closed",IF($F63="Unassigned","Unassigned",IF(AND($K63&lt;&gt;"",$K63&lt;Settings!$C$3),"Overdue",IF($Q63&gt;=Settings!$C$4,"Inactive","On Track")))))</f>
        <v>Closed</v>
      </c>
      <c r="S63" s="17" t="str">
        <f t="shared" si="1"/>
        <v/>
      </c>
      <c r="T63" s="36">
        <f t="shared" si="2"/>
        <v>46174</v>
      </c>
      <c r="U63" s="33">
        <f>IF(AND($O63="Open",OR(Dashboard!$D$3="All",$F63=Dashboard!$D$3)),$H63+ROW()/100000,0)</f>
        <v>0</v>
      </c>
    </row>
    <row r="64" spans="1:21" x14ac:dyDescent="0.25">
      <c r="A64" s="17" t="s">
        <v>238</v>
      </c>
      <c r="B64" s="32">
        <v>46205.5625</v>
      </c>
      <c r="C64" s="17" t="s">
        <v>69</v>
      </c>
      <c r="D64" s="17" t="s">
        <v>239</v>
      </c>
      <c r="E64" s="17" t="s">
        <v>123</v>
      </c>
      <c r="F64" s="17" t="s">
        <v>83</v>
      </c>
      <c r="G64" s="17" t="s">
        <v>18</v>
      </c>
      <c r="H64" s="33">
        <v>148600</v>
      </c>
      <c r="I64" s="32">
        <v>46205.829166666699</v>
      </c>
      <c r="J64" s="34">
        <v>46222</v>
      </c>
      <c r="K64" s="34"/>
      <c r="L64" s="34">
        <v>46222</v>
      </c>
      <c r="M64" s="17" t="s">
        <v>73</v>
      </c>
      <c r="N64" s="17">
        <f t="shared" si="3"/>
        <v>6.4</v>
      </c>
      <c r="O64" s="17" t="str">
        <f t="shared" si="0"/>
        <v>Closed</v>
      </c>
      <c r="P64" s="35">
        <f>IF($A64="","",IF($L64&lt;&gt;"",$L64,Settings!$C$3)-INT($B64))</f>
        <v>17</v>
      </c>
      <c r="Q64" s="17" t="str">
        <f>IF($O64&lt;&gt;"Open","",Settings!$C$3-IF($J64&lt;&gt;"",$J64,INT($B64)))</f>
        <v/>
      </c>
      <c r="R64" s="17" t="str">
        <f>IF($A64="","",IF($O64="Closed","Closed",IF($F64="Unassigned","Unassigned",IF(AND($K64&lt;&gt;"",$K64&lt;Settings!$C$3),"Overdue",IF($Q64&gt;=Settings!$C$4,"Inactive","On Track")))))</f>
        <v>Closed</v>
      </c>
      <c r="S64" s="17" t="str">
        <f t="shared" si="1"/>
        <v/>
      </c>
      <c r="T64" s="36">
        <f t="shared" si="2"/>
        <v>46204</v>
      </c>
      <c r="U64" s="33">
        <f>IF(AND($O64="Open",OR(Dashboard!$D$3="All",$F64=Dashboard!$D$3)),$H64+ROW()/100000,0)</f>
        <v>0</v>
      </c>
    </row>
    <row r="65" spans="1:21" x14ac:dyDescent="0.25">
      <c r="A65" s="17" t="s">
        <v>240</v>
      </c>
      <c r="B65" s="32">
        <v>46207.388888888898</v>
      </c>
      <c r="C65" s="17" t="s">
        <v>62</v>
      </c>
      <c r="D65" s="17" t="s">
        <v>241</v>
      </c>
      <c r="E65" s="17" t="s">
        <v>138</v>
      </c>
      <c r="F65" s="17" t="s">
        <v>82</v>
      </c>
      <c r="G65" s="17" t="s">
        <v>46</v>
      </c>
      <c r="H65" s="33">
        <v>42100</v>
      </c>
      <c r="I65" s="32">
        <v>46207.876388888901</v>
      </c>
      <c r="J65" s="34">
        <v>46313</v>
      </c>
      <c r="K65" s="34">
        <v>46319</v>
      </c>
      <c r="L65" s="34"/>
      <c r="M65" s="17"/>
      <c r="N65" s="17">
        <f t="shared" si="3"/>
        <v>11.7</v>
      </c>
      <c r="O65" s="17" t="str">
        <f t="shared" si="0"/>
        <v>Open</v>
      </c>
      <c r="P65" s="35">
        <f>IF($A65="","",IF($L65&lt;&gt;"",$L65,Settings!$C$3)-INT($B65))</f>
        <v>107</v>
      </c>
      <c r="Q65" s="17">
        <f>IF($O65&lt;&gt;"Open","",Settings!$C$3-IF($J65&lt;&gt;"",$J65,INT($B65)))</f>
        <v>1</v>
      </c>
      <c r="R65" s="17" t="str">
        <f>IF($A65="","",IF($O65="Closed","Closed",IF($F65="Unassigned","Unassigned",IF(AND($K65&lt;&gt;"",$K65&lt;Settings!$C$3),"Overdue",IF($Q65&gt;=Settings!$C$4,"Inactive","On Track")))))</f>
        <v>On Track</v>
      </c>
      <c r="S65" s="17" t="str">
        <f t="shared" si="1"/>
        <v>60+ days</v>
      </c>
      <c r="T65" s="36">
        <f t="shared" si="2"/>
        <v>46204</v>
      </c>
      <c r="U65" s="33">
        <f>IF(AND($O65="Open",OR(Dashboard!$D$3="All",$F65=Dashboard!$D$3)),$H65+ROW()/100000,0)</f>
        <v>42100.000650000002</v>
      </c>
    </row>
    <row r="66" spans="1:21" x14ac:dyDescent="0.25">
      <c r="A66" s="17" t="s">
        <v>242</v>
      </c>
      <c r="B66" s="32">
        <v>46207.680555555598</v>
      </c>
      <c r="C66" s="17" t="s">
        <v>64</v>
      </c>
      <c r="D66" s="17" t="s">
        <v>243</v>
      </c>
      <c r="E66" s="17" t="s">
        <v>123</v>
      </c>
      <c r="F66" s="17" t="s">
        <v>84</v>
      </c>
      <c r="G66" s="17" t="s">
        <v>18</v>
      </c>
      <c r="H66" s="33">
        <v>41300</v>
      </c>
      <c r="I66" s="32">
        <v>46208.030555555597</v>
      </c>
      <c r="J66" s="34">
        <v>46228</v>
      </c>
      <c r="K66" s="34"/>
      <c r="L66" s="34">
        <v>46228</v>
      </c>
      <c r="M66" s="17" t="s">
        <v>76</v>
      </c>
      <c r="N66" s="17">
        <f t="shared" ref="N66:N129" si="4">IF(OR($A66="",$I66=""),"",ROUND(($I66-$B66)*24,1))</f>
        <v>8.4</v>
      </c>
      <c r="O66" s="17" t="str">
        <f t="shared" ref="O66:O129" si="5">IF($A66="","",IF(OR($G66="Won",$G66="Lost"),"Closed","Open"))</f>
        <v>Closed</v>
      </c>
      <c r="P66" s="35">
        <f>IF($A66="","",IF($L66&lt;&gt;"",$L66,Settings!$C$3)-INT($B66))</f>
        <v>21</v>
      </c>
      <c r="Q66" s="17" t="str">
        <f>IF($O66&lt;&gt;"Open","",Settings!$C$3-IF($J66&lt;&gt;"",$J66,INT($B66)))</f>
        <v/>
      </c>
      <c r="R66" s="17" t="str">
        <f>IF($A66="","",IF($O66="Closed","Closed",IF($F66="Unassigned","Unassigned",IF(AND($K66&lt;&gt;"",$K66&lt;Settings!$C$3),"Overdue",IF($Q66&gt;=Settings!$C$4,"Inactive","On Track")))))</f>
        <v>Closed</v>
      </c>
      <c r="S66" s="17" t="str">
        <f t="shared" ref="S66:S129" si="6">IF($O66&lt;&gt;"Open","",IF($P66&lt;=7,"0-7 days",IF($P66&lt;=15,"8-15 days",IF($P66&lt;=30,"16-30 days",IF($P66&lt;=60,"31-60 days","60+ days")))))</f>
        <v/>
      </c>
      <c r="T66" s="36">
        <f t="shared" ref="T66:T129" si="7">IF($A66="","",DATE(YEAR($B66),MONTH($B66),1))</f>
        <v>46204</v>
      </c>
      <c r="U66" s="33">
        <f>IF(AND($O66="Open",OR(Dashboard!$D$3="All",$F66=Dashboard!$D$3)),$H66+ROW()/100000,0)</f>
        <v>0</v>
      </c>
    </row>
    <row r="67" spans="1:21" x14ac:dyDescent="0.25">
      <c r="A67" s="17" t="s">
        <v>244</v>
      </c>
      <c r="B67" s="32">
        <v>46208.5</v>
      </c>
      <c r="C67" s="17" t="s">
        <v>62</v>
      </c>
      <c r="D67" s="17" t="s">
        <v>245</v>
      </c>
      <c r="E67" s="17" t="s">
        <v>138</v>
      </c>
      <c r="F67" s="17" t="s">
        <v>80</v>
      </c>
      <c r="G67" s="17" t="s">
        <v>18</v>
      </c>
      <c r="H67" s="33">
        <v>46500</v>
      </c>
      <c r="I67" s="32">
        <v>46209.366666666698</v>
      </c>
      <c r="J67" s="34">
        <v>46214</v>
      </c>
      <c r="K67" s="34"/>
      <c r="L67" s="34">
        <v>46214</v>
      </c>
      <c r="M67" s="17" t="s">
        <v>73</v>
      </c>
      <c r="N67" s="17">
        <f t="shared" si="4"/>
        <v>20.8</v>
      </c>
      <c r="O67" s="17" t="str">
        <f t="shared" si="5"/>
        <v>Closed</v>
      </c>
      <c r="P67" s="35">
        <f>IF($A67="","",IF($L67&lt;&gt;"",$L67,Settings!$C$3)-INT($B67))</f>
        <v>6</v>
      </c>
      <c r="Q67" s="17" t="str">
        <f>IF($O67&lt;&gt;"Open","",Settings!$C$3-IF($J67&lt;&gt;"",$J67,INT($B67)))</f>
        <v/>
      </c>
      <c r="R67" s="17" t="str">
        <f>IF($A67="","",IF($O67="Closed","Closed",IF($F67="Unassigned","Unassigned",IF(AND($K67&lt;&gt;"",$K67&lt;Settings!$C$3),"Overdue",IF($Q67&gt;=Settings!$C$4,"Inactive","On Track")))))</f>
        <v>Closed</v>
      </c>
      <c r="S67" s="17" t="str">
        <f t="shared" si="6"/>
        <v/>
      </c>
      <c r="T67" s="36">
        <f t="shared" si="7"/>
        <v>46204</v>
      </c>
      <c r="U67" s="33">
        <f>IF(AND($O67="Open",OR(Dashboard!$D$3="All",$F67=Dashboard!$D$3)),$H67+ROW()/100000,0)</f>
        <v>0</v>
      </c>
    </row>
    <row r="68" spans="1:21" x14ac:dyDescent="0.25">
      <c r="A68" s="17" t="s">
        <v>246</v>
      </c>
      <c r="B68" s="32">
        <v>46209.409722222197</v>
      </c>
      <c r="C68" s="17" t="s">
        <v>63</v>
      </c>
      <c r="D68" s="17" t="s">
        <v>247</v>
      </c>
      <c r="E68" s="17" t="s">
        <v>113</v>
      </c>
      <c r="F68" s="17" t="s">
        <v>85</v>
      </c>
      <c r="G68" s="17" t="s">
        <v>46</v>
      </c>
      <c r="H68" s="33">
        <v>47800</v>
      </c>
      <c r="I68" s="32">
        <v>46209.547222222202</v>
      </c>
      <c r="J68" s="34">
        <v>46309</v>
      </c>
      <c r="K68" s="34">
        <v>46312</v>
      </c>
      <c r="L68" s="34"/>
      <c r="M68" s="17"/>
      <c r="N68" s="17">
        <f t="shared" si="4"/>
        <v>3.3</v>
      </c>
      <c r="O68" s="17" t="str">
        <f t="shared" si="5"/>
        <v>Open</v>
      </c>
      <c r="P68" s="35">
        <f>IF($A68="","",IF($L68&lt;&gt;"",$L68,Settings!$C$3)-INT($B68))</f>
        <v>105</v>
      </c>
      <c r="Q68" s="17">
        <f>IF($O68&lt;&gt;"Open","",Settings!$C$3-IF($J68&lt;&gt;"",$J68,INT($B68)))</f>
        <v>5</v>
      </c>
      <c r="R68" s="17" t="str">
        <f>IF($A68="","",IF($O68="Closed","Closed",IF($F68="Unassigned","Unassigned",IF(AND($K68&lt;&gt;"",$K68&lt;Settings!$C$3),"Overdue",IF($Q68&gt;=Settings!$C$4,"Inactive","On Track")))))</f>
        <v>Overdue</v>
      </c>
      <c r="S68" s="17" t="str">
        <f t="shared" si="6"/>
        <v>60+ days</v>
      </c>
      <c r="T68" s="36">
        <f t="shared" si="7"/>
        <v>46204</v>
      </c>
      <c r="U68" s="33">
        <f>IF(AND($O68="Open",OR(Dashboard!$D$3="All",$F68=Dashboard!$D$3)),$H68+ROW()/100000,0)</f>
        <v>47800.000679999997</v>
      </c>
    </row>
    <row r="69" spans="1:21" x14ac:dyDescent="0.25">
      <c r="A69" s="17" t="s">
        <v>248</v>
      </c>
      <c r="B69" s="32">
        <v>46209.493055555598</v>
      </c>
      <c r="C69" s="17" t="s">
        <v>68</v>
      </c>
      <c r="D69" s="17" t="s">
        <v>249</v>
      </c>
      <c r="E69" s="17" t="s">
        <v>110</v>
      </c>
      <c r="F69" s="17" t="s">
        <v>84</v>
      </c>
      <c r="G69" s="17" t="s">
        <v>18</v>
      </c>
      <c r="H69" s="33">
        <v>71800</v>
      </c>
      <c r="I69" s="32">
        <v>46210.288888888899</v>
      </c>
      <c r="J69" s="34">
        <v>46215</v>
      </c>
      <c r="K69" s="34"/>
      <c r="L69" s="34">
        <v>46215</v>
      </c>
      <c r="M69" s="17" t="s">
        <v>78</v>
      </c>
      <c r="N69" s="17">
        <f t="shared" si="4"/>
        <v>19.100000000000001</v>
      </c>
      <c r="O69" s="17" t="str">
        <f t="shared" si="5"/>
        <v>Closed</v>
      </c>
      <c r="P69" s="35">
        <f>IF($A69="","",IF($L69&lt;&gt;"",$L69,Settings!$C$3)-INT($B69))</f>
        <v>6</v>
      </c>
      <c r="Q69" s="17" t="str">
        <f>IF($O69&lt;&gt;"Open","",Settings!$C$3-IF($J69&lt;&gt;"",$J69,INT($B69)))</f>
        <v/>
      </c>
      <c r="R69" s="17" t="str">
        <f>IF($A69="","",IF($O69="Closed","Closed",IF($F69="Unassigned","Unassigned",IF(AND($K69&lt;&gt;"",$K69&lt;Settings!$C$3),"Overdue",IF($Q69&gt;=Settings!$C$4,"Inactive","On Track")))))</f>
        <v>Closed</v>
      </c>
      <c r="S69" s="17" t="str">
        <f t="shared" si="6"/>
        <v/>
      </c>
      <c r="T69" s="36">
        <f t="shared" si="7"/>
        <v>46204</v>
      </c>
      <c r="U69" s="33">
        <f>IF(AND($O69="Open",OR(Dashboard!$D$3="All",$F69=Dashboard!$D$3)),$H69+ROW()/100000,0)</f>
        <v>0</v>
      </c>
    </row>
    <row r="70" spans="1:21" x14ac:dyDescent="0.25">
      <c r="A70" s="17" t="s">
        <v>250</v>
      </c>
      <c r="B70" s="32">
        <v>46210.375</v>
      </c>
      <c r="C70" s="17" t="s">
        <v>66</v>
      </c>
      <c r="D70" s="17" t="s">
        <v>251</v>
      </c>
      <c r="E70" s="17" t="s">
        <v>116</v>
      </c>
      <c r="F70" s="17" t="s">
        <v>81</v>
      </c>
      <c r="G70" s="17" t="s">
        <v>47</v>
      </c>
      <c r="H70" s="33">
        <v>21300</v>
      </c>
      <c r="I70" s="32">
        <v>46210.754166666702</v>
      </c>
      <c r="J70" s="34">
        <v>46306</v>
      </c>
      <c r="K70" s="34">
        <v>46313</v>
      </c>
      <c r="L70" s="34"/>
      <c r="M70" s="17"/>
      <c r="N70" s="17">
        <f t="shared" si="4"/>
        <v>9.1</v>
      </c>
      <c r="O70" s="17" t="str">
        <f t="shared" si="5"/>
        <v>Open</v>
      </c>
      <c r="P70" s="35">
        <f>IF($A70="","",IF($L70&lt;&gt;"",$L70,Settings!$C$3)-INT($B70))</f>
        <v>104</v>
      </c>
      <c r="Q70" s="17">
        <f>IF($O70&lt;&gt;"Open","",Settings!$C$3-IF($J70&lt;&gt;"",$J70,INT($B70)))</f>
        <v>8</v>
      </c>
      <c r="R70" s="17" t="str">
        <f>IF($A70="","",IF($O70="Closed","Closed",IF($F70="Unassigned","Unassigned",IF(AND($K70&lt;&gt;"",$K70&lt;Settings!$C$3),"Overdue",IF($Q70&gt;=Settings!$C$4,"Inactive","On Track")))))</f>
        <v>Overdue</v>
      </c>
      <c r="S70" s="17" t="str">
        <f t="shared" si="6"/>
        <v>60+ days</v>
      </c>
      <c r="T70" s="36">
        <f t="shared" si="7"/>
        <v>46204</v>
      </c>
      <c r="U70" s="33">
        <f>IF(AND($O70="Open",OR(Dashboard!$D$3="All",$F70=Dashboard!$D$3)),$H70+ROW()/100000,0)</f>
        <v>21300.000700000001</v>
      </c>
    </row>
    <row r="71" spans="1:21" x14ac:dyDescent="0.25">
      <c r="A71" s="17" t="s">
        <v>252</v>
      </c>
      <c r="B71" s="32">
        <v>46210.555555555598</v>
      </c>
      <c r="C71" s="17" t="s">
        <v>63</v>
      </c>
      <c r="D71" s="17" t="s">
        <v>253</v>
      </c>
      <c r="E71" s="17" t="s">
        <v>113</v>
      </c>
      <c r="F71" s="17" t="s">
        <v>85</v>
      </c>
      <c r="G71" s="17" t="s">
        <v>18</v>
      </c>
      <c r="H71" s="33">
        <v>84400</v>
      </c>
      <c r="I71" s="32">
        <v>46210.938888888901</v>
      </c>
      <c r="J71" s="34">
        <v>46235</v>
      </c>
      <c r="K71" s="34"/>
      <c r="L71" s="34">
        <v>46235</v>
      </c>
      <c r="M71" s="17" t="s">
        <v>73</v>
      </c>
      <c r="N71" s="17">
        <f t="shared" si="4"/>
        <v>9.1999999999999993</v>
      </c>
      <c r="O71" s="17" t="str">
        <f t="shared" si="5"/>
        <v>Closed</v>
      </c>
      <c r="P71" s="35">
        <f>IF($A71="","",IF($L71&lt;&gt;"",$L71,Settings!$C$3)-INT($B71))</f>
        <v>25</v>
      </c>
      <c r="Q71" s="17" t="str">
        <f>IF($O71&lt;&gt;"Open","",Settings!$C$3-IF($J71&lt;&gt;"",$J71,INT($B71)))</f>
        <v/>
      </c>
      <c r="R71" s="17" t="str">
        <f>IF($A71="","",IF($O71="Closed","Closed",IF($F71="Unassigned","Unassigned",IF(AND($K71&lt;&gt;"",$K71&lt;Settings!$C$3),"Overdue",IF($Q71&gt;=Settings!$C$4,"Inactive","On Track")))))</f>
        <v>Closed</v>
      </c>
      <c r="S71" s="17" t="str">
        <f t="shared" si="6"/>
        <v/>
      </c>
      <c r="T71" s="36">
        <f t="shared" si="7"/>
        <v>46204</v>
      </c>
      <c r="U71" s="33">
        <f>IF(AND($O71="Open",OR(Dashboard!$D$3="All",$F71=Dashboard!$D$3)),$H71+ROW()/100000,0)</f>
        <v>0</v>
      </c>
    </row>
    <row r="72" spans="1:21" x14ac:dyDescent="0.25">
      <c r="A72" s="17" t="s">
        <v>254</v>
      </c>
      <c r="B72" s="32">
        <v>46210.743055555598</v>
      </c>
      <c r="C72" s="17" t="s">
        <v>64</v>
      </c>
      <c r="D72" s="17" t="s">
        <v>255</v>
      </c>
      <c r="E72" s="17" t="s">
        <v>138</v>
      </c>
      <c r="F72" s="17" t="s">
        <v>83</v>
      </c>
      <c r="G72" s="17" t="s">
        <v>17</v>
      </c>
      <c r="H72" s="33">
        <v>58000</v>
      </c>
      <c r="I72" s="32">
        <v>46210.851388888899</v>
      </c>
      <c r="J72" s="34">
        <v>46237</v>
      </c>
      <c r="K72" s="34"/>
      <c r="L72" s="34">
        <v>46237</v>
      </c>
      <c r="M72" s="17"/>
      <c r="N72" s="17">
        <f t="shared" si="4"/>
        <v>2.6</v>
      </c>
      <c r="O72" s="17" t="str">
        <f t="shared" si="5"/>
        <v>Closed</v>
      </c>
      <c r="P72" s="35">
        <f>IF($A72="","",IF($L72&lt;&gt;"",$L72,Settings!$C$3)-INT($B72))</f>
        <v>27</v>
      </c>
      <c r="Q72" s="17" t="str">
        <f>IF($O72&lt;&gt;"Open","",Settings!$C$3-IF($J72&lt;&gt;"",$J72,INT($B72)))</f>
        <v/>
      </c>
      <c r="R72" s="17" t="str">
        <f>IF($A72="","",IF($O72="Closed","Closed",IF($F72="Unassigned","Unassigned",IF(AND($K72&lt;&gt;"",$K72&lt;Settings!$C$3),"Overdue",IF($Q72&gt;=Settings!$C$4,"Inactive","On Track")))))</f>
        <v>Closed</v>
      </c>
      <c r="S72" s="17" t="str">
        <f t="shared" si="6"/>
        <v/>
      </c>
      <c r="T72" s="36">
        <f t="shared" si="7"/>
        <v>46204</v>
      </c>
      <c r="U72" s="33">
        <f>IF(AND($O72="Open",OR(Dashboard!$D$3="All",$F72=Dashboard!$D$3)),$H72+ROW()/100000,0)</f>
        <v>0</v>
      </c>
    </row>
    <row r="73" spans="1:21" x14ac:dyDescent="0.25">
      <c r="A73" s="17" t="s">
        <v>256</v>
      </c>
      <c r="B73" s="32">
        <v>46210.743055555598</v>
      </c>
      <c r="C73" s="17" t="s">
        <v>62</v>
      </c>
      <c r="D73" s="17" t="s">
        <v>257</v>
      </c>
      <c r="E73" s="17" t="s">
        <v>110</v>
      </c>
      <c r="F73" s="17" t="s">
        <v>83</v>
      </c>
      <c r="G73" s="17" t="s">
        <v>17</v>
      </c>
      <c r="H73" s="33">
        <v>33700</v>
      </c>
      <c r="I73" s="32">
        <v>46210.943055555603</v>
      </c>
      <c r="J73" s="34">
        <v>46222</v>
      </c>
      <c r="K73" s="34"/>
      <c r="L73" s="34">
        <v>46222</v>
      </c>
      <c r="M73" s="17"/>
      <c r="N73" s="17">
        <f t="shared" si="4"/>
        <v>4.8</v>
      </c>
      <c r="O73" s="17" t="str">
        <f t="shared" si="5"/>
        <v>Closed</v>
      </c>
      <c r="P73" s="35">
        <f>IF($A73="","",IF($L73&lt;&gt;"",$L73,Settings!$C$3)-INT($B73))</f>
        <v>12</v>
      </c>
      <c r="Q73" s="17" t="str">
        <f>IF($O73&lt;&gt;"Open","",Settings!$C$3-IF($J73&lt;&gt;"",$J73,INT($B73)))</f>
        <v/>
      </c>
      <c r="R73" s="17" t="str">
        <f>IF($A73="","",IF($O73="Closed","Closed",IF($F73="Unassigned","Unassigned",IF(AND($K73&lt;&gt;"",$K73&lt;Settings!$C$3),"Overdue",IF($Q73&gt;=Settings!$C$4,"Inactive","On Track")))))</f>
        <v>Closed</v>
      </c>
      <c r="S73" s="17" t="str">
        <f t="shared" si="6"/>
        <v/>
      </c>
      <c r="T73" s="36">
        <f t="shared" si="7"/>
        <v>46204</v>
      </c>
      <c r="U73" s="33">
        <f>IF(AND($O73="Open",OR(Dashboard!$D$3="All",$F73=Dashboard!$D$3)),$H73+ROW()/100000,0)</f>
        <v>0</v>
      </c>
    </row>
    <row r="74" spans="1:21" x14ac:dyDescent="0.25">
      <c r="A74" s="17" t="s">
        <v>258</v>
      </c>
      <c r="B74" s="32">
        <v>46211.444444444503</v>
      </c>
      <c r="C74" s="17" t="s">
        <v>63</v>
      </c>
      <c r="D74" s="17" t="s">
        <v>259</v>
      </c>
      <c r="E74" s="17" t="s">
        <v>138</v>
      </c>
      <c r="F74" s="17" t="s">
        <v>82</v>
      </c>
      <c r="G74" s="17" t="s">
        <v>46</v>
      </c>
      <c r="H74" s="33">
        <v>23400</v>
      </c>
      <c r="I74" s="32">
        <v>46212.802777777797</v>
      </c>
      <c r="J74" s="34">
        <v>46302</v>
      </c>
      <c r="K74" s="34">
        <v>46305</v>
      </c>
      <c r="L74" s="34"/>
      <c r="M74" s="17"/>
      <c r="N74" s="17">
        <f t="shared" si="4"/>
        <v>32.6</v>
      </c>
      <c r="O74" s="17" t="str">
        <f t="shared" si="5"/>
        <v>Open</v>
      </c>
      <c r="P74" s="35">
        <f>IF($A74="","",IF($L74&lt;&gt;"",$L74,Settings!$C$3)-INT($B74))</f>
        <v>103</v>
      </c>
      <c r="Q74" s="17">
        <f>IF($O74&lt;&gt;"Open","",Settings!$C$3-IF($J74&lt;&gt;"",$J74,INT($B74)))</f>
        <v>12</v>
      </c>
      <c r="R74" s="17" t="str">
        <f>IF($A74="","",IF($O74="Closed","Closed",IF($F74="Unassigned","Unassigned",IF(AND($K74&lt;&gt;"",$K74&lt;Settings!$C$3),"Overdue",IF($Q74&gt;=Settings!$C$4,"Inactive","On Track")))))</f>
        <v>Overdue</v>
      </c>
      <c r="S74" s="17" t="str">
        <f t="shared" si="6"/>
        <v>60+ days</v>
      </c>
      <c r="T74" s="36">
        <f t="shared" si="7"/>
        <v>46204</v>
      </c>
      <c r="U74" s="33">
        <f>IF(AND($O74="Open",OR(Dashboard!$D$3="All",$F74=Dashboard!$D$3)),$H74+ROW()/100000,0)</f>
        <v>23400.000739999999</v>
      </c>
    </row>
    <row r="75" spans="1:21" x14ac:dyDescent="0.25">
      <c r="A75" s="17" t="s">
        <v>260</v>
      </c>
      <c r="B75" s="32">
        <v>46211.458333333299</v>
      </c>
      <c r="C75" s="17" t="s">
        <v>62</v>
      </c>
      <c r="D75" s="17" t="s">
        <v>261</v>
      </c>
      <c r="E75" s="17" t="s">
        <v>116</v>
      </c>
      <c r="F75" s="17" t="s">
        <v>81</v>
      </c>
      <c r="G75" s="17" t="s">
        <v>17</v>
      </c>
      <c r="H75" s="33">
        <v>39600</v>
      </c>
      <c r="I75" s="32">
        <v>46211.533333333296</v>
      </c>
      <c r="J75" s="34">
        <v>46219</v>
      </c>
      <c r="K75" s="34"/>
      <c r="L75" s="34">
        <v>46219</v>
      </c>
      <c r="M75" s="17"/>
      <c r="N75" s="17">
        <f t="shared" si="4"/>
        <v>1.8</v>
      </c>
      <c r="O75" s="17" t="str">
        <f t="shared" si="5"/>
        <v>Closed</v>
      </c>
      <c r="P75" s="35">
        <f>IF($A75="","",IF($L75&lt;&gt;"",$L75,Settings!$C$3)-INT($B75))</f>
        <v>8</v>
      </c>
      <c r="Q75" s="17" t="str">
        <f>IF($O75&lt;&gt;"Open","",Settings!$C$3-IF($J75&lt;&gt;"",$J75,INT($B75)))</f>
        <v/>
      </c>
      <c r="R75" s="17" t="str">
        <f>IF($A75="","",IF($O75="Closed","Closed",IF($F75="Unassigned","Unassigned",IF(AND($K75&lt;&gt;"",$K75&lt;Settings!$C$3),"Overdue",IF($Q75&gt;=Settings!$C$4,"Inactive","On Track")))))</f>
        <v>Closed</v>
      </c>
      <c r="S75" s="17" t="str">
        <f t="shared" si="6"/>
        <v/>
      </c>
      <c r="T75" s="36">
        <f t="shared" si="7"/>
        <v>46204</v>
      </c>
      <c r="U75" s="33">
        <f>IF(AND($O75="Open",OR(Dashboard!$D$3="All",$F75=Dashboard!$D$3)),$H75+ROW()/100000,0)</f>
        <v>0</v>
      </c>
    </row>
    <row r="76" spans="1:21" x14ac:dyDescent="0.25">
      <c r="A76" s="17" t="s">
        <v>262</v>
      </c>
      <c r="B76" s="32">
        <v>46211.590277777803</v>
      </c>
      <c r="C76" s="17" t="s">
        <v>65</v>
      </c>
      <c r="D76" s="17" t="s">
        <v>263</v>
      </c>
      <c r="E76" s="17" t="s">
        <v>116</v>
      </c>
      <c r="F76" s="17" t="s">
        <v>80</v>
      </c>
      <c r="G76" s="17" t="s">
        <v>17</v>
      </c>
      <c r="H76" s="33">
        <v>23900</v>
      </c>
      <c r="I76" s="32">
        <v>46211.777777777803</v>
      </c>
      <c r="J76" s="34">
        <v>46238</v>
      </c>
      <c r="K76" s="34"/>
      <c r="L76" s="34">
        <v>46238</v>
      </c>
      <c r="M76" s="17"/>
      <c r="N76" s="17">
        <f t="shared" si="4"/>
        <v>4.5</v>
      </c>
      <c r="O76" s="17" t="str">
        <f t="shared" si="5"/>
        <v>Closed</v>
      </c>
      <c r="P76" s="35">
        <f>IF($A76="","",IF($L76&lt;&gt;"",$L76,Settings!$C$3)-INT($B76))</f>
        <v>27</v>
      </c>
      <c r="Q76" s="17" t="str">
        <f>IF($O76&lt;&gt;"Open","",Settings!$C$3-IF($J76&lt;&gt;"",$J76,INT($B76)))</f>
        <v/>
      </c>
      <c r="R76" s="17" t="str">
        <f>IF($A76="","",IF($O76="Closed","Closed",IF($F76="Unassigned","Unassigned",IF(AND($K76&lt;&gt;"",$K76&lt;Settings!$C$3),"Overdue",IF($Q76&gt;=Settings!$C$4,"Inactive","On Track")))))</f>
        <v>Closed</v>
      </c>
      <c r="S76" s="17" t="str">
        <f t="shared" si="6"/>
        <v/>
      </c>
      <c r="T76" s="36">
        <f t="shared" si="7"/>
        <v>46204</v>
      </c>
      <c r="U76" s="33">
        <f>IF(AND($O76="Open",OR(Dashboard!$D$3="All",$F76=Dashboard!$D$3)),$H76+ROW()/100000,0)</f>
        <v>0</v>
      </c>
    </row>
    <row r="77" spans="1:21" x14ac:dyDescent="0.25">
      <c r="A77" s="17" t="s">
        <v>264</v>
      </c>
      <c r="B77" s="32">
        <v>46212.527777777803</v>
      </c>
      <c r="C77" s="17" t="s">
        <v>62</v>
      </c>
      <c r="D77" s="17" t="s">
        <v>265</v>
      </c>
      <c r="E77" s="17" t="s">
        <v>138</v>
      </c>
      <c r="F77" s="17" t="s">
        <v>85</v>
      </c>
      <c r="G77" s="17" t="s">
        <v>17</v>
      </c>
      <c r="H77" s="33">
        <v>67000</v>
      </c>
      <c r="I77" s="32">
        <v>46212.7277777778</v>
      </c>
      <c r="J77" s="34">
        <v>46231</v>
      </c>
      <c r="K77" s="34"/>
      <c r="L77" s="34">
        <v>46231</v>
      </c>
      <c r="M77" s="17"/>
      <c r="N77" s="17">
        <f t="shared" si="4"/>
        <v>4.8</v>
      </c>
      <c r="O77" s="17" t="str">
        <f t="shared" si="5"/>
        <v>Closed</v>
      </c>
      <c r="P77" s="35">
        <f>IF($A77="","",IF($L77&lt;&gt;"",$L77,Settings!$C$3)-INT($B77))</f>
        <v>19</v>
      </c>
      <c r="Q77" s="17" t="str">
        <f>IF($O77&lt;&gt;"Open","",Settings!$C$3-IF($J77&lt;&gt;"",$J77,INT($B77)))</f>
        <v/>
      </c>
      <c r="R77" s="17" t="str">
        <f>IF($A77="","",IF($O77="Closed","Closed",IF($F77="Unassigned","Unassigned",IF(AND($K77&lt;&gt;"",$K77&lt;Settings!$C$3),"Overdue",IF($Q77&gt;=Settings!$C$4,"Inactive","On Track")))))</f>
        <v>Closed</v>
      </c>
      <c r="S77" s="17" t="str">
        <f t="shared" si="6"/>
        <v/>
      </c>
      <c r="T77" s="36">
        <f t="shared" si="7"/>
        <v>46204</v>
      </c>
      <c r="U77" s="33">
        <f>IF(AND($O77="Open",OR(Dashboard!$D$3="All",$F77=Dashboard!$D$3)),$H77+ROW()/100000,0)</f>
        <v>0</v>
      </c>
    </row>
    <row r="78" spans="1:21" x14ac:dyDescent="0.25">
      <c r="A78" s="17" t="s">
        <v>266</v>
      </c>
      <c r="B78" s="32">
        <v>46212.541666666701</v>
      </c>
      <c r="C78" s="17" t="s">
        <v>69</v>
      </c>
      <c r="D78" s="17" t="s">
        <v>267</v>
      </c>
      <c r="E78" s="17" t="s">
        <v>110</v>
      </c>
      <c r="F78" s="17" t="s">
        <v>80</v>
      </c>
      <c r="G78" s="17" t="s">
        <v>18</v>
      </c>
      <c r="H78" s="33">
        <v>14800</v>
      </c>
      <c r="I78" s="32">
        <v>46212.633333333302</v>
      </c>
      <c r="J78" s="34">
        <v>46236</v>
      </c>
      <c r="K78" s="34"/>
      <c r="L78" s="34">
        <v>46236</v>
      </c>
      <c r="M78" s="17" t="s">
        <v>74</v>
      </c>
      <c r="N78" s="17">
        <f t="shared" si="4"/>
        <v>2.2000000000000002</v>
      </c>
      <c r="O78" s="17" t="str">
        <f t="shared" si="5"/>
        <v>Closed</v>
      </c>
      <c r="P78" s="35">
        <f>IF($A78="","",IF($L78&lt;&gt;"",$L78,Settings!$C$3)-INT($B78))</f>
        <v>24</v>
      </c>
      <c r="Q78" s="17" t="str">
        <f>IF($O78&lt;&gt;"Open","",Settings!$C$3-IF($J78&lt;&gt;"",$J78,INT($B78)))</f>
        <v/>
      </c>
      <c r="R78" s="17" t="str">
        <f>IF($A78="","",IF($O78="Closed","Closed",IF($F78="Unassigned","Unassigned",IF(AND($K78&lt;&gt;"",$K78&lt;Settings!$C$3),"Overdue",IF($Q78&gt;=Settings!$C$4,"Inactive","On Track")))))</f>
        <v>Closed</v>
      </c>
      <c r="S78" s="17" t="str">
        <f t="shared" si="6"/>
        <v/>
      </c>
      <c r="T78" s="36">
        <f t="shared" si="7"/>
        <v>46204</v>
      </c>
      <c r="U78" s="33">
        <f>IF(AND($O78="Open",OR(Dashboard!$D$3="All",$F78=Dashboard!$D$3)),$H78+ROW()/100000,0)</f>
        <v>0</v>
      </c>
    </row>
    <row r="79" spans="1:21" x14ac:dyDescent="0.25">
      <c r="A79" s="17" t="s">
        <v>268</v>
      </c>
      <c r="B79" s="32">
        <v>46212.625</v>
      </c>
      <c r="C79" s="17" t="s">
        <v>64</v>
      </c>
      <c r="D79" s="17" t="s">
        <v>269</v>
      </c>
      <c r="E79" s="17" t="s">
        <v>123</v>
      </c>
      <c r="F79" s="17" t="s">
        <v>81</v>
      </c>
      <c r="G79" s="17" t="s">
        <v>18</v>
      </c>
      <c r="H79" s="33">
        <v>209300</v>
      </c>
      <c r="I79" s="32">
        <v>46212.654166666704</v>
      </c>
      <c r="J79" s="34">
        <v>46216</v>
      </c>
      <c r="K79" s="34"/>
      <c r="L79" s="34">
        <v>46216</v>
      </c>
      <c r="M79" s="17" t="s">
        <v>78</v>
      </c>
      <c r="N79" s="17">
        <f t="shared" si="4"/>
        <v>0.7</v>
      </c>
      <c r="O79" s="17" t="str">
        <f t="shared" si="5"/>
        <v>Closed</v>
      </c>
      <c r="P79" s="35">
        <f>IF($A79="","",IF($L79&lt;&gt;"",$L79,Settings!$C$3)-INT($B79))</f>
        <v>4</v>
      </c>
      <c r="Q79" s="17" t="str">
        <f>IF($O79&lt;&gt;"Open","",Settings!$C$3-IF($J79&lt;&gt;"",$J79,INT($B79)))</f>
        <v/>
      </c>
      <c r="R79" s="17" t="str">
        <f>IF($A79="","",IF($O79="Closed","Closed",IF($F79="Unassigned","Unassigned",IF(AND($K79&lt;&gt;"",$K79&lt;Settings!$C$3),"Overdue",IF($Q79&gt;=Settings!$C$4,"Inactive","On Track")))))</f>
        <v>Closed</v>
      </c>
      <c r="S79" s="17" t="str">
        <f t="shared" si="6"/>
        <v/>
      </c>
      <c r="T79" s="36">
        <f t="shared" si="7"/>
        <v>46204</v>
      </c>
      <c r="U79" s="33">
        <f>IF(AND($O79="Open",OR(Dashboard!$D$3="All",$F79=Dashboard!$D$3)),$H79+ROW()/100000,0)</f>
        <v>0</v>
      </c>
    </row>
    <row r="80" spans="1:21" x14ac:dyDescent="0.25">
      <c r="A80" s="17" t="s">
        <v>270</v>
      </c>
      <c r="B80" s="32">
        <v>46212.652777777803</v>
      </c>
      <c r="C80" s="17" t="s">
        <v>64</v>
      </c>
      <c r="D80" s="17" t="s">
        <v>271</v>
      </c>
      <c r="E80" s="17" t="s">
        <v>113</v>
      </c>
      <c r="F80" s="17" t="s">
        <v>83</v>
      </c>
      <c r="G80" s="17" t="s">
        <v>17</v>
      </c>
      <c r="H80" s="33">
        <v>14300</v>
      </c>
      <c r="I80" s="32">
        <v>46212.773611111101</v>
      </c>
      <c r="J80" s="34">
        <v>46252</v>
      </c>
      <c r="K80" s="34"/>
      <c r="L80" s="34">
        <v>46252</v>
      </c>
      <c r="M80" s="17"/>
      <c r="N80" s="17">
        <f t="shared" si="4"/>
        <v>2.9</v>
      </c>
      <c r="O80" s="17" t="str">
        <f t="shared" si="5"/>
        <v>Closed</v>
      </c>
      <c r="P80" s="35">
        <f>IF($A80="","",IF($L80&lt;&gt;"",$L80,Settings!$C$3)-INT($B80))</f>
        <v>40</v>
      </c>
      <c r="Q80" s="17" t="str">
        <f>IF($O80&lt;&gt;"Open","",Settings!$C$3-IF($J80&lt;&gt;"",$J80,INT($B80)))</f>
        <v/>
      </c>
      <c r="R80" s="17" t="str">
        <f>IF($A80="","",IF($O80="Closed","Closed",IF($F80="Unassigned","Unassigned",IF(AND($K80&lt;&gt;"",$K80&lt;Settings!$C$3),"Overdue",IF($Q80&gt;=Settings!$C$4,"Inactive","On Track")))))</f>
        <v>Closed</v>
      </c>
      <c r="S80" s="17" t="str">
        <f t="shared" si="6"/>
        <v/>
      </c>
      <c r="T80" s="36">
        <f t="shared" si="7"/>
        <v>46204</v>
      </c>
      <c r="U80" s="33">
        <f>IF(AND($O80="Open",OR(Dashboard!$D$3="All",$F80=Dashboard!$D$3)),$H80+ROW()/100000,0)</f>
        <v>0</v>
      </c>
    </row>
    <row r="81" spans="1:21" x14ac:dyDescent="0.25">
      <c r="A81" s="17" t="s">
        <v>272</v>
      </c>
      <c r="B81" s="32">
        <v>46212.666666666701</v>
      </c>
      <c r="C81" s="17" t="s">
        <v>64</v>
      </c>
      <c r="D81" s="17" t="s">
        <v>273</v>
      </c>
      <c r="E81" s="17" t="s">
        <v>113</v>
      </c>
      <c r="F81" s="17" t="s">
        <v>82</v>
      </c>
      <c r="G81" s="17" t="s">
        <v>18</v>
      </c>
      <c r="H81" s="33">
        <v>43700</v>
      </c>
      <c r="I81" s="32">
        <v>46213.262499999997</v>
      </c>
      <c r="J81" s="34">
        <v>46218</v>
      </c>
      <c r="K81" s="34"/>
      <c r="L81" s="34">
        <v>46218</v>
      </c>
      <c r="M81" s="17" t="s">
        <v>75</v>
      </c>
      <c r="N81" s="17">
        <f t="shared" si="4"/>
        <v>14.3</v>
      </c>
      <c r="O81" s="17" t="str">
        <f t="shared" si="5"/>
        <v>Closed</v>
      </c>
      <c r="P81" s="35">
        <f>IF($A81="","",IF($L81&lt;&gt;"",$L81,Settings!$C$3)-INT($B81))</f>
        <v>6</v>
      </c>
      <c r="Q81" s="17" t="str">
        <f>IF($O81&lt;&gt;"Open","",Settings!$C$3-IF($J81&lt;&gt;"",$J81,INT($B81)))</f>
        <v/>
      </c>
      <c r="R81" s="17" t="str">
        <f>IF($A81="","",IF($O81="Closed","Closed",IF($F81="Unassigned","Unassigned",IF(AND($K81&lt;&gt;"",$K81&lt;Settings!$C$3),"Overdue",IF($Q81&gt;=Settings!$C$4,"Inactive","On Track")))))</f>
        <v>Closed</v>
      </c>
      <c r="S81" s="17" t="str">
        <f t="shared" si="6"/>
        <v/>
      </c>
      <c r="T81" s="36">
        <f t="shared" si="7"/>
        <v>46204</v>
      </c>
      <c r="U81" s="33">
        <f>IF(AND($O81="Open",OR(Dashboard!$D$3="All",$F81=Dashboard!$D$3)),$H81+ROW()/100000,0)</f>
        <v>0</v>
      </c>
    </row>
    <row r="82" spans="1:21" x14ac:dyDescent="0.25">
      <c r="A82" s="17" t="s">
        <v>274</v>
      </c>
      <c r="B82" s="32">
        <v>46212.715277777803</v>
      </c>
      <c r="C82" s="17" t="s">
        <v>66</v>
      </c>
      <c r="D82" s="17" t="s">
        <v>275</v>
      </c>
      <c r="E82" s="17" t="s">
        <v>116</v>
      </c>
      <c r="F82" s="17" t="s">
        <v>85</v>
      </c>
      <c r="G82" s="17" t="s">
        <v>18</v>
      </c>
      <c r="H82" s="33">
        <v>28100</v>
      </c>
      <c r="I82" s="32">
        <v>46212.936111111099</v>
      </c>
      <c r="J82" s="34">
        <v>46251</v>
      </c>
      <c r="K82" s="34"/>
      <c r="L82" s="34">
        <v>46251</v>
      </c>
      <c r="M82" s="17" t="s">
        <v>73</v>
      </c>
      <c r="N82" s="17">
        <f t="shared" si="4"/>
        <v>5.3</v>
      </c>
      <c r="O82" s="17" t="str">
        <f t="shared" si="5"/>
        <v>Closed</v>
      </c>
      <c r="P82" s="35">
        <f>IF($A82="","",IF($L82&lt;&gt;"",$L82,Settings!$C$3)-INT($B82))</f>
        <v>39</v>
      </c>
      <c r="Q82" s="17" t="str">
        <f>IF($O82&lt;&gt;"Open","",Settings!$C$3-IF($J82&lt;&gt;"",$J82,INT($B82)))</f>
        <v/>
      </c>
      <c r="R82" s="17" t="str">
        <f>IF($A82="","",IF($O82="Closed","Closed",IF($F82="Unassigned","Unassigned",IF(AND($K82&lt;&gt;"",$K82&lt;Settings!$C$3),"Overdue",IF($Q82&gt;=Settings!$C$4,"Inactive","On Track")))))</f>
        <v>Closed</v>
      </c>
      <c r="S82" s="17" t="str">
        <f t="shared" si="6"/>
        <v/>
      </c>
      <c r="T82" s="36">
        <f t="shared" si="7"/>
        <v>46204</v>
      </c>
      <c r="U82" s="33">
        <f>IF(AND($O82="Open",OR(Dashboard!$D$3="All",$F82=Dashboard!$D$3)),$H82+ROW()/100000,0)</f>
        <v>0</v>
      </c>
    </row>
    <row r="83" spans="1:21" x14ac:dyDescent="0.25">
      <c r="A83" s="17" t="s">
        <v>276</v>
      </c>
      <c r="B83" s="32">
        <v>46213.395833333299</v>
      </c>
      <c r="C83" s="17" t="s">
        <v>63</v>
      </c>
      <c r="D83" s="17" t="s">
        <v>277</v>
      </c>
      <c r="E83" s="17" t="s">
        <v>147</v>
      </c>
      <c r="F83" s="17" t="s">
        <v>83</v>
      </c>
      <c r="G83" s="17" t="s">
        <v>17</v>
      </c>
      <c r="H83" s="33">
        <v>82000</v>
      </c>
      <c r="I83" s="32">
        <v>46213.454166666699</v>
      </c>
      <c r="J83" s="34">
        <v>46221</v>
      </c>
      <c r="K83" s="34"/>
      <c r="L83" s="34">
        <v>46221</v>
      </c>
      <c r="M83" s="17"/>
      <c r="N83" s="17">
        <f t="shared" si="4"/>
        <v>1.4</v>
      </c>
      <c r="O83" s="17" t="str">
        <f t="shared" si="5"/>
        <v>Closed</v>
      </c>
      <c r="P83" s="35">
        <f>IF($A83="","",IF($L83&lt;&gt;"",$L83,Settings!$C$3)-INT($B83))</f>
        <v>8</v>
      </c>
      <c r="Q83" s="17" t="str">
        <f>IF($O83&lt;&gt;"Open","",Settings!$C$3-IF($J83&lt;&gt;"",$J83,INT($B83)))</f>
        <v/>
      </c>
      <c r="R83" s="17" t="str">
        <f>IF($A83="","",IF($O83="Closed","Closed",IF($F83="Unassigned","Unassigned",IF(AND($K83&lt;&gt;"",$K83&lt;Settings!$C$3),"Overdue",IF($Q83&gt;=Settings!$C$4,"Inactive","On Track")))))</f>
        <v>Closed</v>
      </c>
      <c r="S83" s="17" t="str">
        <f t="shared" si="6"/>
        <v/>
      </c>
      <c r="T83" s="36">
        <f t="shared" si="7"/>
        <v>46204</v>
      </c>
      <c r="U83" s="33">
        <f>IF(AND($O83="Open",OR(Dashboard!$D$3="All",$F83=Dashboard!$D$3)),$H83+ROW()/100000,0)</f>
        <v>0</v>
      </c>
    </row>
    <row r="84" spans="1:21" x14ac:dyDescent="0.25">
      <c r="A84" s="17" t="s">
        <v>278</v>
      </c>
      <c r="B84" s="32">
        <v>46213.625</v>
      </c>
      <c r="C84" s="17" t="s">
        <v>62</v>
      </c>
      <c r="D84" s="17" t="s">
        <v>279</v>
      </c>
      <c r="E84" s="17" t="s">
        <v>113</v>
      </c>
      <c r="F84" s="17" t="s">
        <v>80</v>
      </c>
      <c r="G84" s="17" t="s">
        <v>46</v>
      </c>
      <c r="H84" s="33">
        <v>23300</v>
      </c>
      <c r="I84" s="32">
        <v>46213.662499999999</v>
      </c>
      <c r="J84" s="34">
        <v>46313</v>
      </c>
      <c r="K84" s="34">
        <v>46320</v>
      </c>
      <c r="L84" s="34"/>
      <c r="M84" s="17"/>
      <c r="N84" s="17">
        <f t="shared" si="4"/>
        <v>0.9</v>
      </c>
      <c r="O84" s="17" t="str">
        <f t="shared" si="5"/>
        <v>Open</v>
      </c>
      <c r="P84" s="35">
        <f>IF($A84="","",IF($L84&lt;&gt;"",$L84,Settings!$C$3)-INT($B84))</f>
        <v>101</v>
      </c>
      <c r="Q84" s="17">
        <f>IF($O84&lt;&gt;"Open","",Settings!$C$3-IF($J84&lt;&gt;"",$J84,INT($B84)))</f>
        <v>1</v>
      </c>
      <c r="R84" s="17" t="str">
        <f>IF($A84="","",IF($O84="Closed","Closed",IF($F84="Unassigned","Unassigned",IF(AND($K84&lt;&gt;"",$K84&lt;Settings!$C$3),"Overdue",IF($Q84&gt;=Settings!$C$4,"Inactive","On Track")))))</f>
        <v>On Track</v>
      </c>
      <c r="S84" s="17" t="str">
        <f t="shared" si="6"/>
        <v>60+ days</v>
      </c>
      <c r="T84" s="36">
        <f t="shared" si="7"/>
        <v>46204</v>
      </c>
      <c r="U84" s="33">
        <f>IF(AND($O84="Open",OR(Dashboard!$D$3="All",$F84=Dashboard!$D$3)),$H84+ROW()/100000,0)</f>
        <v>23300.000840000001</v>
      </c>
    </row>
    <row r="85" spans="1:21" x14ac:dyDescent="0.25">
      <c r="A85" s="17" t="s">
        <v>280</v>
      </c>
      <c r="B85" s="32">
        <v>46214.527777777803</v>
      </c>
      <c r="C85" s="17" t="s">
        <v>66</v>
      </c>
      <c r="D85" s="17" t="s">
        <v>281</v>
      </c>
      <c r="E85" s="17" t="s">
        <v>147</v>
      </c>
      <c r="F85" s="17" t="s">
        <v>80</v>
      </c>
      <c r="G85" s="17" t="s">
        <v>18</v>
      </c>
      <c r="H85" s="33">
        <v>14700</v>
      </c>
      <c r="I85" s="32">
        <v>46214.7319444444</v>
      </c>
      <c r="J85" s="34">
        <v>46244</v>
      </c>
      <c r="K85" s="34"/>
      <c r="L85" s="34">
        <v>46244</v>
      </c>
      <c r="M85" s="17" t="s">
        <v>74</v>
      </c>
      <c r="N85" s="17">
        <f t="shared" si="4"/>
        <v>4.9000000000000004</v>
      </c>
      <c r="O85" s="17" t="str">
        <f t="shared" si="5"/>
        <v>Closed</v>
      </c>
      <c r="P85" s="35">
        <f>IF($A85="","",IF($L85&lt;&gt;"",$L85,Settings!$C$3)-INT($B85))</f>
        <v>30</v>
      </c>
      <c r="Q85" s="17" t="str">
        <f>IF($O85&lt;&gt;"Open","",Settings!$C$3-IF($J85&lt;&gt;"",$J85,INT($B85)))</f>
        <v/>
      </c>
      <c r="R85" s="17" t="str">
        <f>IF($A85="","",IF($O85="Closed","Closed",IF($F85="Unassigned","Unassigned",IF(AND($K85&lt;&gt;"",$K85&lt;Settings!$C$3),"Overdue",IF($Q85&gt;=Settings!$C$4,"Inactive","On Track")))))</f>
        <v>Closed</v>
      </c>
      <c r="S85" s="17" t="str">
        <f t="shared" si="6"/>
        <v/>
      </c>
      <c r="T85" s="36">
        <f t="shared" si="7"/>
        <v>46204</v>
      </c>
      <c r="U85" s="33">
        <f>IF(AND($O85="Open",OR(Dashboard!$D$3="All",$F85=Dashboard!$D$3)),$H85+ROW()/100000,0)</f>
        <v>0</v>
      </c>
    </row>
    <row r="86" spans="1:21" x14ac:dyDescent="0.25">
      <c r="A86" s="17" t="s">
        <v>282</v>
      </c>
      <c r="B86" s="32">
        <v>46214.611111111102</v>
      </c>
      <c r="C86" s="17" t="s">
        <v>66</v>
      </c>
      <c r="D86" s="17" t="s">
        <v>283</v>
      </c>
      <c r="E86" s="17" t="s">
        <v>113</v>
      </c>
      <c r="F86" s="17" t="s">
        <v>80</v>
      </c>
      <c r="G86" s="17" t="s">
        <v>18</v>
      </c>
      <c r="H86" s="33">
        <v>34600</v>
      </c>
      <c r="I86" s="32">
        <v>46215.261111111096</v>
      </c>
      <c r="J86" s="34">
        <v>46254</v>
      </c>
      <c r="K86" s="34"/>
      <c r="L86" s="34">
        <v>46254</v>
      </c>
      <c r="M86" s="17" t="s">
        <v>73</v>
      </c>
      <c r="N86" s="17">
        <f t="shared" si="4"/>
        <v>15.6</v>
      </c>
      <c r="O86" s="17" t="str">
        <f t="shared" si="5"/>
        <v>Closed</v>
      </c>
      <c r="P86" s="35">
        <f>IF($A86="","",IF($L86&lt;&gt;"",$L86,Settings!$C$3)-INT($B86))</f>
        <v>40</v>
      </c>
      <c r="Q86" s="17" t="str">
        <f>IF($O86&lt;&gt;"Open","",Settings!$C$3-IF($J86&lt;&gt;"",$J86,INT($B86)))</f>
        <v/>
      </c>
      <c r="R86" s="17" t="str">
        <f>IF($A86="","",IF($O86="Closed","Closed",IF($F86="Unassigned","Unassigned",IF(AND($K86&lt;&gt;"",$K86&lt;Settings!$C$3),"Overdue",IF($Q86&gt;=Settings!$C$4,"Inactive","On Track")))))</f>
        <v>Closed</v>
      </c>
      <c r="S86" s="17" t="str">
        <f t="shared" si="6"/>
        <v/>
      </c>
      <c r="T86" s="36">
        <f t="shared" si="7"/>
        <v>46204</v>
      </c>
      <c r="U86" s="33">
        <f>IF(AND($O86="Open",OR(Dashboard!$D$3="All",$F86=Dashboard!$D$3)),$H86+ROW()/100000,0)</f>
        <v>0</v>
      </c>
    </row>
    <row r="87" spans="1:21" x14ac:dyDescent="0.25">
      <c r="A87" s="17" t="s">
        <v>284</v>
      </c>
      <c r="B87" s="32">
        <v>46215.451388888898</v>
      </c>
      <c r="C87" s="17" t="s">
        <v>68</v>
      </c>
      <c r="D87" s="17" t="s">
        <v>285</v>
      </c>
      <c r="E87" s="17" t="s">
        <v>123</v>
      </c>
      <c r="F87" s="17" t="s">
        <v>84</v>
      </c>
      <c r="G87" s="17" t="s">
        <v>46</v>
      </c>
      <c r="H87" s="33">
        <v>58100</v>
      </c>
      <c r="I87" s="32">
        <v>46215.697222222203</v>
      </c>
      <c r="J87" s="34">
        <v>46311</v>
      </c>
      <c r="K87" s="34">
        <v>46320</v>
      </c>
      <c r="L87" s="34"/>
      <c r="M87" s="17"/>
      <c r="N87" s="17">
        <f t="shared" si="4"/>
        <v>5.9</v>
      </c>
      <c r="O87" s="17" t="str">
        <f t="shared" si="5"/>
        <v>Open</v>
      </c>
      <c r="P87" s="35">
        <f>IF($A87="","",IF($L87&lt;&gt;"",$L87,Settings!$C$3)-INT($B87))</f>
        <v>99</v>
      </c>
      <c r="Q87" s="17">
        <f>IF($O87&lt;&gt;"Open","",Settings!$C$3-IF($J87&lt;&gt;"",$J87,INT($B87)))</f>
        <v>3</v>
      </c>
      <c r="R87" s="17" t="str">
        <f>IF($A87="","",IF($O87="Closed","Closed",IF($F87="Unassigned","Unassigned",IF(AND($K87&lt;&gt;"",$K87&lt;Settings!$C$3),"Overdue",IF($Q87&gt;=Settings!$C$4,"Inactive","On Track")))))</f>
        <v>On Track</v>
      </c>
      <c r="S87" s="17" t="str">
        <f t="shared" si="6"/>
        <v>60+ days</v>
      </c>
      <c r="T87" s="36">
        <f t="shared" si="7"/>
        <v>46204</v>
      </c>
      <c r="U87" s="33">
        <f>IF(AND($O87="Open",OR(Dashboard!$D$3="All",$F87=Dashboard!$D$3)),$H87+ROW()/100000,0)</f>
        <v>58100.000870000003</v>
      </c>
    </row>
    <row r="88" spans="1:21" x14ac:dyDescent="0.25">
      <c r="A88" s="17" t="s">
        <v>286</v>
      </c>
      <c r="B88" s="32">
        <v>46215.486111111102</v>
      </c>
      <c r="C88" s="17" t="s">
        <v>65</v>
      </c>
      <c r="D88" s="17" t="s">
        <v>287</v>
      </c>
      <c r="E88" s="17" t="s">
        <v>123</v>
      </c>
      <c r="F88" s="17" t="s">
        <v>81</v>
      </c>
      <c r="G88" s="17" t="s">
        <v>46</v>
      </c>
      <c r="H88" s="33">
        <v>10200</v>
      </c>
      <c r="I88" s="32">
        <v>46215.631944444503</v>
      </c>
      <c r="J88" s="34">
        <v>46313</v>
      </c>
      <c r="K88" s="34">
        <v>46320</v>
      </c>
      <c r="L88" s="34"/>
      <c r="M88" s="17"/>
      <c r="N88" s="17">
        <f t="shared" si="4"/>
        <v>3.5</v>
      </c>
      <c r="O88" s="17" t="str">
        <f t="shared" si="5"/>
        <v>Open</v>
      </c>
      <c r="P88" s="35">
        <f>IF($A88="","",IF($L88&lt;&gt;"",$L88,Settings!$C$3)-INT($B88))</f>
        <v>99</v>
      </c>
      <c r="Q88" s="17">
        <f>IF($O88&lt;&gt;"Open","",Settings!$C$3-IF($J88&lt;&gt;"",$J88,INT($B88)))</f>
        <v>1</v>
      </c>
      <c r="R88" s="17" t="str">
        <f>IF($A88="","",IF($O88="Closed","Closed",IF($F88="Unassigned","Unassigned",IF(AND($K88&lt;&gt;"",$K88&lt;Settings!$C$3),"Overdue",IF($Q88&gt;=Settings!$C$4,"Inactive","On Track")))))</f>
        <v>On Track</v>
      </c>
      <c r="S88" s="17" t="str">
        <f t="shared" si="6"/>
        <v>60+ days</v>
      </c>
      <c r="T88" s="36">
        <f t="shared" si="7"/>
        <v>46204</v>
      </c>
      <c r="U88" s="33">
        <f>IF(AND($O88="Open",OR(Dashboard!$D$3="All",$F88=Dashboard!$D$3)),$H88+ROW()/100000,0)</f>
        <v>10200.00088</v>
      </c>
    </row>
    <row r="89" spans="1:21" x14ac:dyDescent="0.25">
      <c r="A89" s="17" t="s">
        <v>288</v>
      </c>
      <c r="B89" s="32">
        <v>46217.388888888898</v>
      </c>
      <c r="C89" s="17" t="s">
        <v>66</v>
      </c>
      <c r="D89" s="17" t="s">
        <v>289</v>
      </c>
      <c r="E89" s="17" t="s">
        <v>116</v>
      </c>
      <c r="F89" s="17" t="s">
        <v>84</v>
      </c>
      <c r="G89" s="17" t="s">
        <v>47</v>
      </c>
      <c r="H89" s="33">
        <v>15000</v>
      </c>
      <c r="I89" s="32">
        <v>46217.672222222202</v>
      </c>
      <c r="J89" s="34">
        <v>46311</v>
      </c>
      <c r="K89" s="34">
        <v>46320</v>
      </c>
      <c r="L89" s="34"/>
      <c r="M89" s="17"/>
      <c r="N89" s="17">
        <f t="shared" si="4"/>
        <v>6.8</v>
      </c>
      <c r="O89" s="17" t="str">
        <f t="shared" si="5"/>
        <v>Open</v>
      </c>
      <c r="P89" s="35">
        <f>IF($A89="","",IF($L89&lt;&gt;"",$L89,Settings!$C$3)-INT($B89))</f>
        <v>97</v>
      </c>
      <c r="Q89" s="17">
        <f>IF($O89&lt;&gt;"Open","",Settings!$C$3-IF($J89&lt;&gt;"",$J89,INT($B89)))</f>
        <v>3</v>
      </c>
      <c r="R89" s="17" t="str">
        <f>IF($A89="","",IF($O89="Closed","Closed",IF($F89="Unassigned","Unassigned",IF(AND($K89&lt;&gt;"",$K89&lt;Settings!$C$3),"Overdue",IF($Q89&gt;=Settings!$C$4,"Inactive","On Track")))))</f>
        <v>On Track</v>
      </c>
      <c r="S89" s="17" t="str">
        <f t="shared" si="6"/>
        <v>60+ days</v>
      </c>
      <c r="T89" s="36">
        <f t="shared" si="7"/>
        <v>46204</v>
      </c>
      <c r="U89" s="33">
        <f>IF(AND($O89="Open",OR(Dashboard!$D$3="All",$F89=Dashboard!$D$3)),$H89+ROW()/100000,0)</f>
        <v>15000.000889999999</v>
      </c>
    </row>
    <row r="90" spans="1:21" x14ac:dyDescent="0.25">
      <c r="A90" s="17" t="s">
        <v>290</v>
      </c>
      <c r="B90" s="32">
        <v>46217.416666666701</v>
      </c>
      <c r="C90" s="17" t="s">
        <v>64</v>
      </c>
      <c r="D90" s="17" t="s">
        <v>291</v>
      </c>
      <c r="E90" s="17" t="s">
        <v>123</v>
      </c>
      <c r="F90" s="17" t="s">
        <v>84</v>
      </c>
      <c r="G90" s="17" t="s">
        <v>47</v>
      </c>
      <c r="H90" s="33">
        <v>20800</v>
      </c>
      <c r="I90" s="32">
        <v>46217.845833333296</v>
      </c>
      <c r="J90" s="34">
        <v>46309</v>
      </c>
      <c r="K90" s="34">
        <v>46312</v>
      </c>
      <c r="L90" s="34"/>
      <c r="M90" s="17"/>
      <c r="N90" s="17">
        <f t="shared" si="4"/>
        <v>10.3</v>
      </c>
      <c r="O90" s="17" t="str">
        <f t="shared" si="5"/>
        <v>Open</v>
      </c>
      <c r="P90" s="35">
        <f>IF($A90="","",IF($L90&lt;&gt;"",$L90,Settings!$C$3)-INT($B90))</f>
        <v>97</v>
      </c>
      <c r="Q90" s="17">
        <f>IF($O90&lt;&gt;"Open","",Settings!$C$3-IF($J90&lt;&gt;"",$J90,INT($B90)))</f>
        <v>5</v>
      </c>
      <c r="R90" s="17" t="str">
        <f>IF($A90="","",IF($O90="Closed","Closed",IF($F90="Unassigned","Unassigned",IF(AND($K90&lt;&gt;"",$K90&lt;Settings!$C$3),"Overdue",IF($Q90&gt;=Settings!$C$4,"Inactive","On Track")))))</f>
        <v>Overdue</v>
      </c>
      <c r="S90" s="17" t="str">
        <f t="shared" si="6"/>
        <v>60+ days</v>
      </c>
      <c r="T90" s="36">
        <f t="shared" si="7"/>
        <v>46204</v>
      </c>
      <c r="U90" s="33">
        <f>IF(AND($O90="Open",OR(Dashboard!$D$3="All",$F90=Dashboard!$D$3)),$H90+ROW()/100000,0)</f>
        <v>20800.000899999999</v>
      </c>
    </row>
    <row r="91" spans="1:21" x14ac:dyDescent="0.25">
      <c r="A91" s="17" t="s">
        <v>292</v>
      </c>
      <c r="B91" s="32">
        <v>46218.340277777803</v>
      </c>
      <c r="C91" s="17" t="s">
        <v>65</v>
      </c>
      <c r="D91" s="17" t="s">
        <v>293</v>
      </c>
      <c r="E91" s="17" t="s">
        <v>123</v>
      </c>
      <c r="F91" s="17" t="s">
        <v>85</v>
      </c>
      <c r="G91" s="17" t="s">
        <v>18</v>
      </c>
      <c r="H91" s="33">
        <v>125200</v>
      </c>
      <c r="I91" s="32">
        <v>46218.448611111096</v>
      </c>
      <c r="J91" s="34">
        <v>46241</v>
      </c>
      <c r="K91" s="34"/>
      <c r="L91" s="34">
        <v>46241</v>
      </c>
      <c r="M91" s="17" t="s">
        <v>78</v>
      </c>
      <c r="N91" s="17">
        <f t="shared" si="4"/>
        <v>2.6</v>
      </c>
      <c r="O91" s="17" t="str">
        <f t="shared" si="5"/>
        <v>Closed</v>
      </c>
      <c r="P91" s="35">
        <f>IF($A91="","",IF($L91&lt;&gt;"",$L91,Settings!$C$3)-INT($B91))</f>
        <v>23</v>
      </c>
      <c r="Q91" s="17" t="str">
        <f>IF($O91&lt;&gt;"Open","",Settings!$C$3-IF($J91&lt;&gt;"",$J91,INT($B91)))</f>
        <v/>
      </c>
      <c r="R91" s="17" t="str">
        <f>IF($A91="","",IF($O91="Closed","Closed",IF($F91="Unassigned","Unassigned",IF(AND($K91&lt;&gt;"",$K91&lt;Settings!$C$3),"Overdue",IF($Q91&gt;=Settings!$C$4,"Inactive","On Track")))))</f>
        <v>Closed</v>
      </c>
      <c r="S91" s="17" t="str">
        <f t="shared" si="6"/>
        <v/>
      </c>
      <c r="T91" s="36">
        <f t="shared" si="7"/>
        <v>46204</v>
      </c>
      <c r="U91" s="33">
        <f>IF(AND($O91="Open",OR(Dashboard!$D$3="All",$F91=Dashboard!$D$3)),$H91+ROW()/100000,0)</f>
        <v>0</v>
      </c>
    </row>
    <row r="92" spans="1:21" x14ac:dyDescent="0.25">
      <c r="A92" s="17" t="s">
        <v>294</v>
      </c>
      <c r="B92" s="32">
        <v>46218.666666666701</v>
      </c>
      <c r="C92" s="17" t="s">
        <v>63</v>
      </c>
      <c r="D92" s="17" t="s">
        <v>295</v>
      </c>
      <c r="E92" s="17" t="s">
        <v>113</v>
      </c>
      <c r="F92" s="17" t="s">
        <v>81</v>
      </c>
      <c r="G92" s="17" t="s">
        <v>17</v>
      </c>
      <c r="H92" s="33">
        <v>45700</v>
      </c>
      <c r="I92" s="32">
        <v>46219.787499999999</v>
      </c>
      <c r="J92" s="34">
        <v>46247</v>
      </c>
      <c r="K92" s="34"/>
      <c r="L92" s="34">
        <v>46247</v>
      </c>
      <c r="M92" s="17"/>
      <c r="N92" s="17">
        <f t="shared" si="4"/>
        <v>26.9</v>
      </c>
      <c r="O92" s="17" t="str">
        <f t="shared" si="5"/>
        <v>Closed</v>
      </c>
      <c r="P92" s="35">
        <f>IF($A92="","",IF($L92&lt;&gt;"",$L92,Settings!$C$3)-INT($B92))</f>
        <v>29</v>
      </c>
      <c r="Q92" s="17" t="str">
        <f>IF($O92&lt;&gt;"Open","",Settings!$C$3-IF($J92&lt;&gt;"",$J92,INT($B92)))</f>
        <v/>
      </c>
      <c r="R92" s="17" t="str">
        <f>IF($A92="","",IF($O92="Closed","Closed",IF($F92="Unassigned","Unassigned",IF(AND($K92&lt;&gt;"",$K92&lt;Settings!$C$3),"Overdue",IF($Q92&gt;=Settings!$C$4,"Inactive","On Track")))))</f>
        <v>Closed</v>
      </c>
      <c r="S92" s="17" t="str">
        <f t="shared" si="6"/>
        <v/>
      </c>
      <c r="T92" s="36">
        <f t="shared" si="7"/>
        <v>46204</v>
      </c>
      <c r="U92" s="33">
        <f>IF(AND($O92="Open",OR(Dashboard!$D$3="All",$F92=Dashboard!$D$3)),$H92+ROW()/100000,0)</f>
        <v>0</v>
      </c>
    </row>
    <row r="93" spans="1:21" x14ac:dyDescent="0.25">
      <c r="A93" s="17" t="s">
        <v>296</v>
      </c>
      <c r="B93" s="32">
        <v>46218.715277777803</v>
      </c>
      <c r="C93" s="17" t="s">
        <v>64</v>
      </c>
      <c r="D93" s="17" t="s">
        <v>297</v>
      </c>
      <c r="E93" s="17" t="s">
        <v>147</v>
      </c>
      <c r="F93" s="17" t="s">
        <v>85</v>
      </c>
      <c r="G93" s="17" t="s">
        <v>17</v>
      </c>
      <c r="H93" s="33">
        <v>18400</v>
      </c>
      <c r="I93" s="32">
        <v>46219.2319444444</v>
      </c>
      <c r="J93" s="34">
        <v>46222</v>
      </c>
      <c r="K93" s="34"/>
      <c r="L93" s="34">
        <v>46222</v>
      </c>
      <c r="M93" s="17"/>
      <c r="N93" s="17">
        <f t="shared" si="4"/>
        <v>12.4</v>
      </c>
      <c r="O93" s="17" t="str">
        <f t="shared" si="5"/>
        <v>Closed</v>
      </c>
      <c r="P93" s="35">
        <f>IF($A93="","",IF($L93&lt;&gt;"",$L93,Settings!$C$3)-INT($B93))</f>
        <v>4</v>
      </c>
      <c r="Q93" s="17" t="str">
        <f>IF($O93&lt;&gt;"Open","",Settings!$C$3-IF($J93&lt;&gt;"",$J93,INT($B93)))</f>
        <v/>
      </c>
      <c r="R93" s="17" t="str">
        <f>IF($A93="","",IF($O93="Closed","Closed",IF($F93="Unassigned","Unassigned",IF(AND($K93&lt;&gt;"",$K93&lt;Settings!$C$3),"Overdue",IF($Q93&gt;=Settings!$C$4,"Inactive","On Track")))))</f>
        <v>Closed</v>
      </c>
      <c r="S93" s="17" t="str">
        <f t="shared" si="6"/>
        <v/>
      </c>
      <c r="T93" s="36">
        <f t="shared" si="7"/>
        <v>46204</v>
      </c>
      <c r="U93" s="33">
        <f>IF(AND($O93="Open",OR(Dashboard!$D$3="All",$F93=Dashboard!$D$3)),$H93+ROW()/100000,0)</f>
        <v>0</v>
      </c>
    </row>
    <row r="94" spans="1:21" x14ac:dyDescent="0.25">
      <c r="A94" s="17" t="s">
        <v>298</v>
      </c>
      <c r="B94" s="32">
        <v>46219.513888888898</v>
      </c>
      <c r="C94" s="17" t="s">
        <v>68</v>
      </c>
      <c r="D94" s="17" t="s">
        <v>299</v>
      </c>
      <c r="E94" s="17" t="s">
        <v>116</v>
      </c>
      <c r="F94" s="17" t="s">
        <v>82</v>
      </c>
      <c r="G94" s="17" t="s">
        <v>17</v>
      </c>
      <c r="H94" s="33">
        <v>37900</v>
      </c>
      <c r="I94" s="32">
        <v>46219.963888888902</v>
      </c>
      <c r="J94" s="34">
        <v>46240</v>
      </c>
      <c r="K94" s="34"/>
      <c r="L94" s="34">
        <v>46240</v>
      </c>
      <c r="M94" s="17"/>
      <c r="N94" s="17">
        <f t="shared" si="4"/>
        <v>10.8</v>
      </c>
      <c r="O94" s="17" t="str">
        <f t="shared" si="5"/>
        <v>Closed</v>
      </c>
      <c r="P94" s="35">
        <f>IF($A94="","",IF($L94&lt;&gt;"",$L94,Settings!$C$3)-INT($B94))</f>
        <v>21</v>
      </c>
      <c r="Q94" s="17" t="str">
        <f>IF($O94&lt;&gt;"Open","",Settings!$C$3-IF($J94&lt;&gt;"",$J94,INT($B94)))</f>
        <v/>
      </c>
      <c r="R94" s="17" t="str">
        <f>IF($A94="","",IF($O94="Closed","Closed",IF($F94="Unassigned","Unassigned",IF(AND($K94&lt;&gt;"",$K94&lt;Settings!$C$3),"Overdue",IF($Q94&gt;=Settings!$C$4,"Inactive","On Track")))))</f>
        <v>Closed</v>
      </c>
      <c r="S94" s="17" t="str">
        <f t="shared" si="6"/>
        <v/>
      </c>
      <c r="T94" s="36">
        <f t="shared" si="7"/>
        <v>46204</v>
      </c>
      <c r="U94" s="33">
        <f>IF(AND($O94="Open",OR(Dashboard!$D$3="All",$F94=Dashboard!$D$3)),$H94+ROW()/100000,0)</f>
        <v>0</v>
      </c>
    </row>
    <row r="95" spans="1:21" x14ac:dyDescent="0.25">
      <c r="A95" s="17" t="s">
        <v>300</v>
      </c>
      <c r="B95" s="32">
        <v>46220.541666666701</v>
      </c>
      <c r="C95" s="17" t="s">
        <v>63</v>
      </c>
      <c r="D95" s="17" t="s">
        <v>301</v>
      </c>
      <c r="E95" s="17" t="s">
        <v>116</v>
      </c>
      <c r="F95" s="17" t="s">
        <v>80</v>
      </c>
      <c r="G95" s="17" t="s">
        <v>17</v>
      </c>
      <c r="H95" s="33">
        <v>13100</v>
      </c>
      <c r="I95" s="32">
        <v>46221.079166666699</v>
      </c>
      <c r="J95" s="34">
        <v>46232</v>
      </c>
      <c r="K95" s="34"/>
      <c r="L95" s="34">
        <v>46232</v>
      </c>
      <c r="M95" s="17"/>
      <c r="N95" s="17">
        <f t="shared" si="4"/>
        <v>12.9</v>
      </c>
      <c r="O95" s="17" t="str">
        <f t="shared" si="5"/>
        <v>Closed</v>
      </c>
      <c r="P95" s="35">
        <f>IF($A95="","",IF($L95&lt;&gt;"",$L95,Settings!$C$3)-INT($B95))</f>
        <v>12</v>
      </c>
      <c r="Q95" s="17" t="str">
        <f>IF($O95&lt;&gt;"Open","",Settings!$C$3-IF($J95&lt;&gt;"",$J95,INT($B95)))</f>
        <v/>
      </c>
      <c r="R95" s="17" t="str">
        <f>IF($A95="","",IF($O95="Closed","Closed",IF($F95="Unassigned","Unassigned",IF(AND($K95&lt;&gt;"",$K95&lt;Settings!$C$3),"Overdue",IF($Q95&gt;=Settings!$C$4,"Inactive","On Track")))))</f>
        <v>Closed</v>
      </c>
      <c r="S95" s="17" t="str">
        <f t="shared" si="6"/>
        <v/>
      </c>
      <c r="T95" s="36">
        <f t="shared" si="7"/>
        <v>46204</v>
      </c>
      <c r="U95" s="33">
        <f>IF(AND($O95="Open",OR(Dashboard!$D$3="All",$F95=Dashboard!$D$3)),$H95+ROW()/100000,0)</f>
        <v>0</v>
      </c>
    </row>
    <row r="96" spans="1:21" x14ac:dyDescent="0.25">
      <c r="A96" s="17" t="s">
        <v>302</v>
      </c>
      <c r="B96" s="32">
        <v>46222.569444444503</v>
      </c>
      <c r="C96" s="17" t="s">
        <v>68</v>
      </c>
      <c r="D96" s="17" t="s">
        <v>303</v>
      </c>
      <c r="E96" s="17" t="s">
        <v>138</v>
      </c>
      <c r="F96" s="17" t="s">
        <v>83</v>
      </c>
      <c r="G96" s="17" t="s">
        <v>18</v>
      </c>
      <c r="H96" s="33">
        <v>88600</v>
      </c>
      <c r="I96" s="32">
        <v>46222.748611111099</v>
      </c>
      <c r="J96" s="34">
        <v>46244</v>
      </c>
      <c r="K96" s="34"/>
      <c r="L96" s="34">
        <v>46244</v>
      </c>
      <c r="M96" s="17" t="s">
        <v>75</v>
      </c>
      <c r="N96" s="17">
        <f t="shared" si="4"/>
        <v>4.3</v>
      </c>
      <c r="O96" s="17" t="str">
        <f t="shared" si="5"/>
        <v>Closed</v>
      </c>
      <c r="P96" s="35">
        <f>IF($A96="","",IF($L96&lt;&gt;"",$L96,Settings!$C$3)-INT($B96))</f>
        <v>22</v>
      </c>
      <c r="Q96" s="17" t="str">
        <f>IF($O96&lt;&gt;"Open","",Settings!$C$3-IF($J96&lt;&gt;"",$J96,INT($B96)))</f>
        <v/>
      </c>
      <c r="R96" s="17" t="str">
        <f>IF($A96="","",IF($O96="Closed","Closed",IF($F96="Unassigned","Unassigned",IF(AND($K96&lt;&gt;"",$K96&lt;Settings!$C$3),"Overdue",IF($Q96&gt;=Settings!$C$4,"Inactive","On Track")))))</f>
        <v>Closed</v>
      </c>
      <c r="S96" s="17" t="str">
        <f t="shared" si="6"/>
        <v/>
      </c>
      <c r="T96" s="36">
        <f t="shared" si="7"/>
        <v>46204</v>
      </c>
      <c r="U96" s="33">
        <f>IF(AND($O96="Open",OR(Dashboard!$D$3="All",$F96=Dashboard!$D$3)),$H96+ROW()/100000,0)</f>
        <v>0</v>
      </c>
    </row>
    <row r="97" spans="1:21" x14ac:dyDescent="0.25">
      <c r="A97" s="17" t="s">
        <v>304</v>
      </c>
      <c r="B97" s="32">
        <v>46223.555555555598</v>
      </c>
      <c r="C97" s="17" t="s">
        <v>66</v>
      </c>
      <c r="D97" s="17" t="s">
        <v>305</v>
      </c>
      <c r="E97" s="17" t="s">
        <v>123</v>
      </c>
      <c r="F97" s="17" t="s">
        <v>85</v>
      </c>
      <c r="G97" s="17" t="s">
        <v>47</v>
      </c>
      <c r="H97" s="33">
        <v>55400</v>
      </c>
      <c r="I97" s="32">
        <v>46224.451388888898</v>
      </c>
      <c r="J97" s="34">
        <v>46289</v>
      </c>
      <c r="K97" s="34">
        <v>46297</v>
      </c>
      <c r="L97" s="34"/>
      <c r="M97" s="17"/>
      <c r="N97" s="17">
        <f t="shared" si="4"/>
        <v>21.5</v>
      </c>
      <c r="O97" s="17" t="str">
        <f t="shared" si="5"/>
        <v>Open</v>
      </c>
      <c r="P97" s="35">
        <f>IF($A97="","",IF($L97&lt;&gt;"",$L97,Settings!$C$3)-INT($B97))</f>
        <v>91</v>
      </c>
      <c r="Q97" s="17">
        <f>IF($O97&lt;&gt;"Open","",Settings!$C$3-IF($J97&lt;&gt;"",$J97,INT($B97)))</f>
        <v>25</v>
      </c>
      <c r="R97" s="17" t="str">
        <f>IF($A97="","",IF($O97="Closed","Closed",IF($F97="Unassigned","Unassigned",IF(AND($K97&lt;&gt;"",$K97&lt;Settings!$C$3),"Overdue",IF($Q97&gt;=Settings!$C$4,"Inactive","On Track")))))</f>
        <v>Overdue</v>
      </c>
      <c r="S97" s="17" t="str">
        <f t="shared" si="6"/>
        <v>60+ days</v>
      </c>
      <c r="T97" s="36">
        <f t="shared" si="7"/>
        <v>46204</v>
      </c>
      <c r="U97" s="33">
        <f>IF(AND($O97="Open",OR(Dashboard!$D$3="All",$F97=Dashboard!$D$3)),$H97+ROW()/100000,0)</f>
        <v>55400.000970000001</v>
      </c>
    </row>
    <row r="98" spans="1:21" x14ac:dyDescent="0.25">
      <c r="A98" s="17" t="s">
        <v>306</v>
      </c>
      <c r="B98" s="32">
        <v>46223.604166666701</v>
      </c>
      <c r="C98" s="17" t="s">
        <v>66</v>
      </c>
      <c r="D98" s="17" t="s">
        <v>307</v>
      </c>
      <c r="E98" s="17" t="s">
        <v>116</v>
      </c>
      <c r="F98" s="17" t="s">
        <v>83</v>
      </c>
      <c r="G98" s="17" t="s">
        <v>17</v>
      </c>
      <c r="H98" s="33">
        <v>28300</v>
      </c>
      <c r="I98" s="32">
        <v>46223.625</v>
      </c>
      <c r="J98" s="34">
        <v>46234</v>
      </c>
      <c r="K98" s="34"/>
      <c r="L98" s="34">
        <v>46234</v>
      </c>
      <c r="M98" s="17"/>
      <c r="N98" s="17">
        <f t="shared" si="4"/>
        <v>0.5</v>
      </c>
      <c r="O98" s="17" t="str">
        <f t="shared" si="5"/>
        <v>Closed</v>
      </c>
      <c r="P98" s="35">
        <f>IF($A98="","",IF($L98&lt;&gt;"",$L98,Settings!$C$3)-INT($B98))</f>
        <v>11</v>
      </c>
      <c r="Q98" s="17" t="str">
        <f>IF($O98&lt;&gt;"Open","",Settings!$C$3-IF($J98&lt;&gt;"",$J98,INT($B98)))</f>
        <v/>
      </c>
      <c r="R98" s="17" t="str">
        <f>IF($A98="","",IF($O98="Closed","Closed",IF($F98="Unassigned","Unassigned",IF(AND($K98&lt;&gt;"",$K98&lt;Settings!$C$3),"Overdue",IF($Q98&gt;=Settings!$C$4,"Inactive","On Track")))))</f>
        <v>Closed</v>
      </c>
      <c r="S98" s="17" t="str">
        <f t="shared" si="6"/>
        <v/>
      </c>
      <c r="T98" s="36">
        <f t="shared" si="7"/>
        <v>46204</v>
      </c>
      <c r="U98" s="33">
        <f>IF(AND($O98="Open",OR(Dashboard!$D$3="All",$F98=Dashboard!$D$3)),$H98+ROW()/100000,0)</f>
        <v>0</v>
      </c>
    </row>
    <row r="99" spans="1:21" x14ac:dyDescent="0.25">
      <c r="A99" s="17" t="s">
        <v>308</v>
      </c>
      <c r="B99" s="32">
        <v>46224.402777777803</v>
      </c>
      <c r="C99" s="17" t="s">
        <v>63</v>
      </c>
      <c r="D99" s="17" t="s">
        <v>309</v>
      </c>
      <c r="E99" s="17" t="s">
        <v>110</v>
      </c>
      <c r="F99" s="17" t="s">
        <v>85</v>
      </c>
      <c r="G99" s="17" t="s">
        <v>46</v>
      </c>
      <c r="H99" s="33">
        <v>20100</v>
      </c>
      <c r="I99" s="32">
        <v>46224.548611111102</v>
      </c>
      <c r="J99" s="34">
        <v>46309</v>
      </c>
      <c r="K99" s="34">
        <v>46315</v>
      </c>
      <c r="L99" s="34"/>
      <c r="M99" s="17"/>
      <c r="N99" s="17">
        <f t="shared" si="4"/>
        <v>3.5</v>
      </c>
      <c r="O99" s="17" t="str">
        <f t="shared" si="5"/>
        <v>Open</v>
      </c>
      <c r="P99" s="35">
        <f>IF($A99="","",IF($L99&lt;&gt;"",$L99,Settings!$C$3)-INT($B99))</f>
        <v>90</v>
      </c>
      <c r="Q99" s="17">
        <f>IF($O99&lt;&gt;"Open","",Settings!$C$3-IF($J99&lt;&gt;"",$J99,INT($B99)))</f>
        <v>5</v>
      </c>
      <c r="R99" s="17" t="str">
        <f>IF($A99="","",IF($O99="Closed","Closed",IF($F99="Unassigned","Unassigned",IF(AND($K99&lt;&gt;"",$K99&lt;Settings!$C$3),"Overdue",IF($Q99&gt;=Settings!$C$4,"Inactive","On Track")))))</f>
        <v>On Track</v>
      </c>
      <c r="S99" s="17" t="str">
        <f t="shared" si="6"/>
        <v>60+ days</v>
      </c>
      <c r="T99" s="36">
        <f t="shared" si="7"/>
        <v>46204</v>
      </c>
      <c r="U99" s="33">
        <f>IF(AND($O99="Open",OR(Dashboard!$D$3="All",$F99=Dashboard!$D$3)),$H99+ROW()/100000,0)</f>
        <v>20100.00099</v>
      </c>
    </row>
    <row r="100" spans="1:21" x14ac:dyDescent="0.25">
      <c r="A100" s="17" t="s">
        <v>310</v>
      </c>
      <c r="B100" s="32">
        <v>46224.416666666701</v>
      </c>
      <c r="C100" s="17" t="s">
        <v>67</v>
      </c>
      <c r="D100" s="17" t="s">
        <v>311</v>
      </c>
      <c r="E100" s="17" t="s">
        <v>113</v>
      </c>
      <c r="F100" s="17" t="s">
        <v>80</v>
      </c>
      <c r="G100" s="17" t="s">
        <v>17</v>
      </c>
      <c r="H100" s="33">
        <v>11500</v>
      </c>
      <c r="I100" s="32">
        <v>46225.508333333302</v>
      </c>
      <c r="J100" s="34">
        <v>46243</v>
      </c>
      <c r="K100" s="34"/>
      <c r="L100" s="34">
        <v>46243</v>
      </c>
      <c r="M100" s="17"/>
      <c r="N100" s="17">
        <f t="shared" si="4"/>
        <v>26.2</v>
      </c>
      <c r="O100" s="17" t="str">
        <f t="shared" si="5"/>
        <v>Closed</v>
      </c>
      <c r="P100" s="35">
        <f>IF($A100="","",IF($L100&lt;&gt;"",$L100,Settings!$C$3)-INT($B100))</f>
        <v>19</v>
      </c>
      <c r="Q100" s="17" t="str">
        <f>IF($O100&lt;&gt;"Open","",Settings!$C$3-IF($J100&lt;&gt;"",$J100,INT($B100)))</f>
        <v/>
      </c>
      <c r="R100" s="17" t="str">
        <f>IF($A100="","",IF($O100="Closed","Closed",IF($F100="Unassigned","Unassigned",IF(AND($K100&lt;&gt;"",$K100&lt;Settings!$C$3),"Overdue",IF($Q100&gt;=Settings!$C$4,"Inactive","On Track")))))</f>
        <v>Closed</v>
      </c>
      <c r="S100" s="17" t="str">
        <f t="shared" si="6"/>
        <v/>
      </c>
      <c r="T100" s="36">
        <f t="shared" si="7"/>
        <v>46204</v>
      </c>
      <c r="U100" s="33">
        <f>IF(AND($O100="Open",OR(Dashboard!$D$3="All",$F100=Dashboard!$D$3)),$H100+ROW()/100000,0)</f>
        <v>0</v>
      </c>
    </row>
    <row r="101" spans="1:21" x14ac:dyDescent="0.25">
      <c r="A101" s="17" t="s">
        <v>312</v>
      </c>
      <c r="B101" s="32">
        <v>46224.5625</v>
      </c>
      <c r="C101" s="17" t="s">
        <v>64</v>
      </c>
      <c r="D101" s="17" t="s">
        <v>313</v>
      </c>
      <c r="E101" s="17" t="s">
        <v>110</v>
      </c>
      <c r="F101" s="17" t="s">
        <v>80</v>
      </c>
      <c r="G101" s="17" t="s">
        <v>48</v>
      </c>
      <c r="H101" s="33">
        <v>64300</v>
      </c>
      <c r="I101" s="32">
        <v>46224.625</v>
      </c>
      <c r="J101" s="34">
        <v>46311</v>
      </c>
      <c r="K101" s="34">
        <v>46315</v>
      </c>
      <c r="L101" s="34"/>
      <c r="M101" s="17"/>
      <c r="N101" s="17">
        <f t="shared" si="4"/>
        <v>1.5</v>
      </c>
      <c r="O101" s="17" t="str">
        <f t="shared" si="5"/>
        <v>Open</v>
      </c>
      <c r="P101" s="35">
        <f>IF($A101="","",IF($L101&lt;&gt;"",$L101,Settings!$C$3)-INT($B101))</f>
        <v>90</v>
      </c>
      <c r="Q101" s="17">
        <f>IF($O101&lt;&gt;"Open","",Settings!$C$3-IF($J101&lt;&gt;"",$J101,INT($B101)))</f>
        <v>3</v>
      </c>
      <c r="R101" s="17" t="str">
        <f>IF($A101="","",IF($O101="Closed","Closed",IF($F101="Unassigned","Unassigned",IF(AND($K101&lt;&gt;"",$K101&lt;Settings!$C$3),"Overdue",IF($Q101&gt;=Settings!$C$4,"Inactive","On Track")))))</f>
        <v>On Track</v>
      </c>
      <c r="S101" s="17" t="str">
        <f t="shared" si="6"/>
        <v>60+ days</v>
      </c>
      <c r="T101" s="36">
        <f t="shared" si="7"/>
        <v>46204</v>
      </c>
      <c r="U101" s="33">
        <f>IF(AND($O101="Open",OR(Dashboard!$D$3="All",$F101=Dashboard!$D$3)),$H101+ROW()/100000,0)</f>
        <v>64300.00101</v>
      </c>
    </row>
    <row r="102" spans="1:21" x14ac:dyDescent="0.25">
      <c r="A102" s="17" t="s">
        <v>314</v>
      </c>
      <c r="B102" s="32">
        <v>46225.347222222197</v>
      </c>
      <c r="C102" s="17" t="s">
        <v>67</v>
      </c>
      <c r="D102" s="17" t="s">
        <v>315</v>
      </c>
      <c r="E102" s="17" t="s">
        <v>116</v>
      </c>
      <c r="F102" s="17" t="s">
        <v>82</v>
      </c>
      <c r="G102" s="17" t="s">
        <v>18</v>
      </c>
      <c r="H102" s="33">
        <v>26300</v>
      </c>
      <c r="I102" s="32">
        <v>46226.609722222202</v>
      </c>
      <c r="J102" s="34">
        <v>46247</v>
      </c>
      <c r="K102" s="34"/>
      <c r="L102" s="34">
        <v>46247</v>
      </c>
      <c r="M102" s="17" t="s">
        <v>75</v>
      </c>
      <c r="N102" s="17">
        <f t="shared" si="4"/>
        <v>30.3</v>
      </c>
      <c r="O102" s="17" t="str">
        <f t="shared" si="5"/>
        <v>Closed</v>
      </c>
      <c r="P102" s="35">
        <f>IF($A102="","",IF($L102&lt;&gt;"",$L102,Settings!$C$3)-INT($B102))</f>
        <v>22</v>
      </c>
      <c r="Q102" s="17" t="str">
        <f>IF($O102&lt;&gt;"Open","",Settings!$C$3-IF($J102&lt;&gt;"",$J102,INT($B102)))</f>
        <v/>
      </c>
      <c r="R102" s="17" t="str">
        <f>IF($A102="","",IF($O102="Closed","Closed",IF($F102="Unassigned","Unassigned",IF(AND($K102&lt;&gt;"",$K102&lt;Settings!$C$3),"Overdue",IF($Q102&gt;=Settings!$C$4,"Inactive","On Track")))))</f>
        <v>Closed</v>
      </c>
      <c r="S102" s="17" t="str">
        <f t="shared" si="6"/>
        <v/>
      </c>
      <c r="T102" s="36">
        <f t="shared" si="7"/>
        <v>46204</v>
      </c>
      <c r="U102" s="33">
        <f>IF(AND($O102="Open",OR(Dashboard!$D$3="All",$F102=Dashboard!$D$3)),$H102+ROW()/100000,0)</f>
        <v>0</v>
      </c>
    </row>
    <row r="103" spans="1:21" x14ac:dyDescent="0.25">
      <c r="A103" s="17" t="s">
        <v>316</v>
      </c>
      <c r="B103" s="32">
        <v>46225.520833333299</v>
      </c>
      <c r="C103" s="17" t="s">
        <v>64</v>
      </c>
      <c r="D103" s="17" t="s">
        <v>144</v>
      </c>
      <c r="E103" s="17" t="s">
        <v>113</v>
      </c>
      <c r="F103" s="17" t="s">
        <v>85</v>
      </c>
      <c r="G103" s="17" t="s">
        <v>18</v>
      </c>
      <c r="H103" s="33">
        <v>27600</v>
      </c>
      <c r="I103" s="32">
        <v>46225.662499999999</v>
      </c>
      <c r="J103" s="34">
        <v>46262</v>
      </c>
      <c r="K103" s="34"/>
      <c r="L103" s="34">
        <v>46262</v>
      </c>
      <c r="M103" s="17" t="s">
        <v>75</v>
      </c>
      <c r="N103" s="17">
        <f t="shared" si="4"/>
        <v>3.4</v>
      </c>
      <c r="O103" s="17" t="str">
        <f t="shared" si="5"/>
        <v>Closed</v>
      </c>
      <c r="P103" s="35">
        <f>IF($A103="","",IF($L103&lt;&gt;"",$L103,Settings!$C$3)-INT($B103))</f>
        <v>37</v>
      </c>
      <c r="Q103" s="17" t="str">
        <f>IF($O103&lt;&gt;"Open","",Settings!$C$3-IF($J103&lt;&gt;"",$J103,INT($B103)))</f>
        <v/>
      </c>
      <c r="R103" s="17" t="str">
        <f>IF($A103="","",IF($O103="Closed","Closed",IF($F103="Unassigned","Unassigned",IF(AND($K103&lt;&gt;"",$K103&lt;Settings!$C$3),"Overdue",IF($Q103&gt;=Settings!$C$4,"Inactive","On Track")))))</f>
        <v>Closed</v>
      </c>
      <c r="S103" s="17" t="str">
        <f t="shared" si="6"/>
        <v/>
      </c>
      <c r="T103" s="36">
        <f t="shared" si="7"/>
        <v>46204</v>
      </c>
      <c r="U103" s="33">
        <f>IF(AND($O103="Open",OR(Dashboard!$D$3="All",$F103=Dashboard!$D$3)),$H103+ROW()/100000,0)</f>
        <v>0</v>
      </c>
    </row>
    <row r="104" spans="1:21" x14ac:dyDescent="0.25">
      <c r="A104" s="17" t="s">
        <v>317</v>
      </c>
      <c r="B104" s="32">
        <v>46226.402777777803</v>
      </c>
      <c r="C104" s="17" t="s">
        <v>63</v>
      </c>
      <c r="D104" s="17" t="s">
        <v>318</v>
      </c>
      <c r="E104" s="17" t="s">
        <v>123</v>
      </c>
      <c r="F104" s="17" t="s">
        <v>81</v>
      </c>
      <c r="G104" s="17" t="s">
        <v>18</v>
      </c>
      <c r="H104" s="33">
        <v>224600</v>
      </c>
      <c r="I104" s="32">
        <v>46226.506944444503</v>
      </c>
      <c r="J104" s="34">
        <v>46266</v>
      </c>
      <c r="K104" s="34"/>
      <c r="L104" s="34">
        <v>46266</v>
      </c>
      <c r="M104" s="17" t="s">
        <v>75</v>
      </c>
      <c r="N104" s="17">
        <f t="shared" si="4"/>
        <v>2.5</v>
      </c>
      <c r="O104" s="17" t="str">
        <f t="shared" si="5"/>
        <v>Closed</v>
      </c>
      <c r="P104" s="35">
        <f>IF($A104="","",IF($L104&lt;&gt;"",$L104,Settings!$C$3)-INT($B104))</f>
        <v>40</v>
      </c>
      <c r="Q104" s="17" t="str">
        <f>IF($O104&lt;&gt;"Open","",Settings!$C$3-IF($J104&lt;&gt;"",$J104,INT($B104)))</f>
        <v/>
      </c>
      <c r="R104" s="17" t="str">
        <f>IF($A104="","",IF($O104="Closed","Closed",IF($F104="Unassigned","Unassigned",IF(AND($K104&lt;&gt;"",$K104&lt;Settings!$C$3),"Overdue",IF($Q104&gt;=Settings!$C$4,"Inactive","On Track")))))</f>
        <v>Closed</v>
      </c>
      <c r="S104" s="17" t="str">
        <f t="shared" si="6"/>
        <v/>
      </c>
      <c r="T104" s="36">
        <f t="shared" si="7"/>
        <v>46204</v>
      </c>
      <c r="U104" s="33">
        <f>IF(AND($O104="Open",OR(Dashboard!$D$3="All",$F104=Dashboard!$D$3)),$H104+ROW()/100000,0)</f>
        <v>0</v>
      </c>
    </row>
    <row r="105" spans="1:21" x14ac:dyDescent="0.25">
      <c r="A105" s="17" t="s">
        <v>319</v>
      </c>
      <c r="B105" s="32">
        <v>46226.527777777803</v>
      </c>
      <c r="C105" s="17" t="s">
        <v>68</v>
      </c>
      <c r="D105" s="17" t="s">
        <v>203</v>
      </c>
      <c r="E105" s="17" t="s">
        <v>138</v>
      </c>
      <c r="F105" s="17" t="s">
        <v>81</v>
      </c>
      <c r="G105" s="17" t="s">
        <v>47</v>
      </c>
      <c r="H105" s="33">
        <v>9900</v>
      </c>
      <c r="I105" s="32">
        <v>46227.094444444498</v>
      </c>
      <c r="J105" s="34">
        <v>46302</v>
      </c>
      <c r="K105" s="34">
        <v>46304</v>
      </c>
      <c r="L105" s="34"/>
      <c r="M105" s="17"/>
      <c r="N105" s="17">
        <f t="shared" si="4"/>
        <v>13.6</v>
      </c>
      <c r="O105" s="17" t="str">
        <f t="shared" si="5"/>
        <v>Open</v>
      </c>
      <c r="P105" s="35">
        <f>IF($A105="","",IF($L105&lt;&gt;"",$L105,Settings!$C$3)-INT($B105))</f>
        <v>88</v>
      </c>
      <c r="Q105" s="17">
        <f>IF($O105&lt;&gt;"Open","",Settings!$C$3-IF($J105&lt;&gt;"",$J105,INT($B105)))</f>
        <v>12</v>
      </c>
      <c r="R105" s="17" t="str">
        <f>IF($A105="","",IF($O105="Closed","Closed",IF($F105="Unassigned","Unassigned",IF(AND($K105&lt;&gt;"",$K105&lt;Settings!$C$3),"Overdue",IF($Q105&gt;=Settings!$C$4,"Inactive","On Track")))))</f>
        <v>Overdue</v>
      </c>
      <c r="S105" s="17" t="str">
        <f t="shared" si="6"/>
        <v>60+ days</v>
      </c>
      <c r="T105" s="36">
        <f t="shared" si="7"/>
        <v>46204</v>
      </c>
      <c r="U105" s="33">
        <f>IF(AND($O105="Open",OR(Dashboard!$D$3="All",$F105=Dashboard!$D$3)),$H105+ROW()/100000,0)</f>
        <v>9900.0010500000008</v>
      </c>
    </row>
    <row r="106" spans="1:21" x14ac:dyDescent="0.25">
      <c r="A106" s="17" t="s">
        <v>320</v>
      </c>
      <c r="B106" s="32">
        <v>46227.534722222197</v>
      </c>
      <c r="C106" s="17" t="s">
        <v>63</v>
      </c>
      <c r="D106" s="17" t="s">
        <v>177</v>
      </c>
      <c r="E106" s="17" t="s">
        <v>116</v>
      </c>
      <c r="F106" s="17" t="s">
        <v>80</v>
      </c>
      <c r="G106" s="17" t="s">
        <v>17</v>
      </c>
      <c r="H106" s="33">
        <v>9700</v>
      </c>
      <c r="I106" s="32">
        <v>46227.593055555597</v>
      </c>
      <c r="J106" s="34">
        <v>46241</v>
      </c>
      <c r="K106" s="34"/>
      <c r="L106" s="34">
        <v>46241</v>
      </c>
      <c r="M106" s="17"/>
      <c r="N106" s="17">
        <f t="shared" si="4"/>
        <v>1.4</v>
      </c>
      <c r="O106" s="17" t="str">
        <f t="shared" si="5"/>
        <v>Closed</v>
      </c>
      <c r="P106" s="35">
        <f>IF($A106="","",IF($L106&lt;&gt;"",$L106,Settings!$C$3)-INT($B106))</f>
        <v>14</v>
      </c>
      <c r="Q106" s="17" t="str">
        <f>IF($O106&lt;&gt;"Open","",Settings!$C$3-IF($J106&lt;&gt;"",$J106,INT($B106)))</f>
        <v/>
      </c>
      <c r="R106" s="17" t="str">
        <f>IF($A106="","",IF($O106="Closed","Closed",IF($F106="Unassigned","Unassigned",IF(AND($K106&lt;&gt;"",$K106&lt;Settings!$C$3),"Overdue",IF($Q106&gt;=Settings!$C$4,"Inactive","On Track")))))</f>
        <v>Closed</v>
      </c>
      <c r="S106" s="17" t="str">
        <f t="shared" si="6"/>
        <v/>
      </c>
      <c r="T106" s="36">
        <f t="shared" si="7"/>
        <v>46204</v>
      </c>
      <c r="U106" s="33">
        <f>IF(AND($O106="Open",OR(Dashboard!$D$3="All",$F106=Dashboard!$D$3)),$H106+ROW()/100000,0)</f>
        <v>0</v>
      </c>
    </row>
    <row r="107" spans="1:21" x14ac:dyDescent="0.25">
      <c r="A107" s="17" t="s">
        <v>321</v>
      </c>
      <c r="B107" s="32">
        <v>46228.430555555598</v>
      </c>
      <c r="C107" s="17" t="s">
        <v>62</v>
      </c>
      <c r="D107" s="17" t="s">
        <v>253</v>
      </c>
      <c r="E107" s="17" t="s">
        <v>113</v>
      </c>
      <c r="F107" s="17" t="s">
        <v>82</v>
      </c>
      <c r="G107" s="17" t="s">
        <v>18</v>
      </c>
      <c r="H107" s="33">
        <v>41600</v>
      </c>
      <c r="I107" s="32">
        <v>46228.722222222197</v>
      </c>
      <c r="J107" s="34">
        <v>46247</v>
      </c>
      <c r="K107" s="34"/>
      <c r="L107" s="34">
        <v>46247</v>
      </c>
      <c r="M107" s="17" t="s">
        <v>73</v>
      </c>
      <c r="N107" s="17">
        <f t="shared" si="4"/>
        <v>7</v>
      </c>
      <c r="O107" s="17" t="str">
        <f t="shared" si="5"/>
        <v>Closed</v>
      </c>
      <c r="P107" s="35">
        <f>IF($A107="","",IF($L107&lt;&gt;"",$L107,Settings!$C$3)-INT($B107))</f>
        <v>19</v>
      </c>
      <c r="Q107" s="17" t="str">
        <f>IF($O107&lt;&gt;"Open","",Settings!$C$3-IF($J107&lt;&gt;"",$J107,INT($B107)))</f>
        <v/>
      </c>
      <c r="R107" s="17" t="str">
        <f>IF($A107="","",IF($O107="Closed","Closed",IF($F107="Unassigned","Unassigned",IF(AND($K107&lt;&gt;"",$K107&lt;Settings!$C$3),"Overdue",IF($Q107&gt;=Settings!$C$4,"Inactive","On Track")))))</f>
        <v>Closed</v>
      </c>
      <c r="S107" s="17" t="str">
        <f t="shared" si="6"/>
        <v/>
      </c>
      <c r="T107" s="36">
        <f t="shared" si="7"/>
        <v>46204</v>
      </c>
      <c r="U107" s="33">
        <f>IF(AND($O107="Open",OR(Dashboard!$D$3="All",$F107=Dashboard!$D$3)),$H107+ROW()/100000,0)</f>
        <v>0</v>
      </c>
    </row>
    <row r="108" spans="1:21" x14ac:dyDescent="0.25">
      <c r="A108" s="17" t="s">
        <v>322</v>
      </c>
      <c r="B108" s="32">
        <v>46229.659722222197</v>
      </c>
      <c r="C108" s="17" t="s">
        <v>62</v>
      </c>
      <c r="D108" s="17" t="s">
        <v>112</v>
      </c>
      <c r="E108" s="17" t="s">
        <v>113</v>
      </c>
      <c r="F108" s="17" t="s">
        <v>82</v>
      </c>
      <c r="G108" s="17" t="s">
        <v>46</v>
      </c>
      <c r="H108" s="33">
        <v>89700</v>
      </c>
      <c r="I108" s="32">
        <v>46229.984722222202</v>
      </c>
      <c r="J108" s="34">
        <v>46306</v>
      </c>
      <c r="K108" s="34">
        <v>46309</v>
      </c>
      <c r="L108" s="34"/>
      <c r="M108" s="17"/>
      <c r="N108" s="17">
        <f t="shared" si="4"/>
        <v>7.8</v>
      </c>
      <c r="O108" s="17" t="str">
        <f t="shared" si="5"/>
        <v>Open</v>
      </c>
      <c r="P108" s="35">
        <f>IF($A108="","",IF($L108&lt;&gt;"",$L108,Settings!$C$3)-INT($B108))</f>
        <v>85</v>
      </c>
      <c r="Q108" s="17">
        <f>IF($O108&lt;&gt;"Open","",Settings!$C$3-IF($J108&lt;&gt;"",$J108,INT($B108)))</f>
        <v>8</v>
      </c>
      <c r="R108" s="17" t="str">
        <f>IF($A108="","",IF($O108="Closed","Closed",IF($F108="Unassigned","Unassigned",IF(AND($K108&lt;&gt;"",$K108&lt;Settings!$C$3),"Overdue",IF($Q108&gt;=Settings!$C$4,"Inactive","On Track")))))</f>
        <v>Overdue</v>
      </c>
      <c r="S108" s="17" t="str">
        <f t="shared" si="6"/>
        <v>60+ days</v>
      </c>
      <c r="T108" s="36">
        <f t="shared" si="7"/>
        <v>46204</v>
      </c>
      <c r="U108" s="33">
        <f>IF(AND($O108="Open",OR(Dashboard!$D$3="All",$F108=Dashboard!$D$3)),$H108+ROW()/100000,0)</f>
        <v>89700.001080000002</v>
      </c>
    </row>
    <row r="109" spans="1:21" x14ac:dyDescent="0.25">
      <c r="A109" s="17" t="s">
        <v>323</v>
      </c>
      <c r="B109" s="32">
        <v>46231.611111111102</v>
      </c>
      <c r="C109" s="17" t="s">
        <v>64</v>
      </c>
      <c r="D109" s="17" t="s">
        <v>195</v>
      </c>
      <c r="E109" s="17" t="s">
        <v>116</v>
      </c>
      <c r="F109" s="17" t="s">
        <v>82</v>
      </c>
      <c r="G109" s="17" t="s">
        <v>17</v>
      </c>
      <c r="H109" s="33">
        <v>11400</v>
      </c>
      <c r="I109" s="32">
        <v>46232.065277777801</v>
      </c>
      <c r="J109" s="34">
        <v>46258</v>
      </c>
      <c r="K109" s="34"/>
      <c r="L109" s="34">
        <v>46258</v>
      </c>
      <c r="M109" s="17"/>
      <c r="N109" s="17">
        <f t="shared" si="4"/>
        <v>10.9</v>
      </c>
      <c r="O109" s="17" t="str">
        <f t="shared" si="5"/>
        <v>Closed</v>
      </c>
      <c r="P109" s="35">
        <f>IF($A109="","",IF($L109&lt;&gt;"",$L109,Settings!$C$3)-INT($B109))</f>
        <v>27</v>
      </c>
      <c r="Q109" s="17" t="str">
        <f>IF($O109&lt;&gt;"Open","",Settings!$C$3-IF($J109&lt;&gt;"",$J109,INT($B109)))</f>
        <v/>
      </c>
      <c r="R109" s="17" t="str">
        <f>IF($A109="","",IF($O109="Closed","Closed",IF($F109="Unassigned","Unassigned",IF(AND($K109&lt;&gt;"",$K109&lt;Settings!$C$3),"Overdue",IF($Q109&gt;=Settings!$C$4,"Inactive","On Track")))))</f>
        <v>Closed</v>
      </c>
      <c r="S109" s="17" t="str">
        <f t="shared" si="6"/>
        <v/>
      </c>
      <c r="T109" s="36">
        <f t="shared" si="7"/>
        <v>46204</v>
      </c>
      <c r="U109" s="33">
        <f>IF(AND($O109="Open",OR(Dashboard!$D$3="All",$F109=Dashboard!$D$3)),$H109+ROW()/100000,0)</f>
        <v>0</v>
      </c>
    </row>
    <row r="110" spans="1:21" x14ac:dyDescent="0.25">
      <c r="A110" s="17" t="s">
        <v>324</v>
      </c>
      <c r="B110" s="32">
        <v>46231.611111111102</v>
      </c>
      <c r="C110" s="17" t="s">
        <v>62</v>
      </c>
      <c r="D110" s="17" t="s">
        <v>315</v>
      </c>
      <c r="E110" s="17" t="s">
        <v>123</v>
      </c>
      <c r="F110" s="17" t="s">
        <v>84</v>
      </c>
      <c r="G110" s="17" t="s">
        <v>18</v>
      </c>
      <c r="H110" s="33">
        <v>24500</v>
      </c>
      <c r="I110" s="32">
        <v>46231.719444444498</v>
      </c>
      <c r="J110" s="34">
        <v>46243</v>
      </c>
      <c r="K110" s="34"/>
      <c r="L110" s="34">
        <v>46243</v>
      </c>
      <c r="M110" s="17" t="s">
        <v>73</v>
      </c>
      <c r="N110" s="17">
        <f t="shared" si="4"/>
        <v>2.6</v>
      </c>
      <c r="O110" s="17" t="str">
        <f t="shared" si="5"/>
        <v>Closed</v>
      </c>
      <c r="P110" s="35">
        <f>IF($A110="","",IF($L110&lt;&gt;"",$L110,Settings!$C$3)-INT($B110))</f>
        <v>12</v>
      </c>
      <c r="Q110" s="17" t="str">
        <f>IF($O110&lt;&gt;"Open","",Settings!$C$3-IF($J110&lt;&gt;"",$J110,INT($B110)))</f>
        <v/>
      </c>
      <c r="R110" s="17" t="str">
        <f>IF($A110="","",IF($O110="Closed","Closed",IF($F110="Unassigned","Unassigned",IF(AND($K110&lt;&gt;"",$K110&lt;Settings!$C$3),"Overdue",IF($Q110&gt;=Settings!$C$4,"Inactive","On Track")))))</f>
        <v>Closed</v>
      </c>
      <c r="S110" s="17" t="str">
        <f t="shared" si="6"/>
        <v/>
      </c>
      <c r="T110" s="36">
        <f t="shared" si="7"/>
        <v>46204</v>
      </c>
      <c r="U110" s="33">
        <f>IF(AND($O110="Open",OR(Dashboard!$D$3="All",$F110=Dashboard!$D$3)),$H110+ROW()/100000,0)</f>
        <v>0</v>
      </c>
    </row>
    <row r="111" spans="1:21" x14ac:dyDescent="0.25">
      <c r="A111" s="17" t="s">
        <v>325</v>
      </c>
      <c r="B111" s="32">
        <v>46231.6875</v>
      </c>
      <c r="C111" s="17" t="s">
        <v>69</v>
      </c>
      <c r="D111" s="17" t="s">
        <v>326</v>
      </c>
      <c r="E111" s="17" t="s">
        <v>110</v>
      </c>
      <c r="F111" s="17" t="s">
        <v>83</v>
      </c>
      <c r="G111" s="17" t="s">
        <v>46</v>
      </c>
      <c r="H111" s="33">
        <v>20500</v>
      </c>
      <c r="I111" s="32">
        <v>46231.783333333296</v>
      </c>
      <c r="J111" s="34">
        <v>46306</v>
      </c>
      <c r="K111" s="34">
        <v>46312</v>
      </c>
      <c r="L111" s="34"/>
      <c r="M111" s="17"/>
      <c r="N111" s="17">
        <f t="shared" si="4"/>
        <v>2.2999999999999998</v>
      </c>
      <c r="O111" s="17" t="str">
        <f t="shared" si="5"/>
        <v>Open</v>
      </c>
      <c r="P111" s="35">
        <f>IF($A111="","",IF($L111&lt;&gt;"",$L111,Settings!$C$3)-INT($B111))</f>
        <v>83</v>
      </c>
      <c r="Q111" s="17">
        <f>IF($O111&lt;&gt;"Open","",Settings!$C$3-IF($J111&lt;&gt;"",$J111,INT($B111)))</f>
        <v>8</v>
      </c>
      <c r="R111" s="17" t="str">
        <f>IF($A111="","",IF($O111="Closed","Closed",IF($F111="Unassigned","Unassigned",IF(AND($K111&lt;&gt;"",$K111&lt;Settings!$C$3),"Overdue",IF($Q111&gt;=Settings!$C$4,"Inactive","On Track")))))</f>
        <v>Overdue</v>
      </c>
      <c r="S111" s="17" t="str">
        <f t="shared" si="6"/>
        <v>60+ days</v>
      </c>
      <c r="T111" s="36">
        <f t="shared" si="7"/>
        <v>46204</v>
      </c>
      <c r="U111" s="33">
        <f>IF(AND($O111="Open",OR(Dashboard!$D$3="All",$F111=Dashboard!$D$3)),$H111+ROW()/100000,0)</f>
        <v>20500.001110000001</v>
      </c>
    </row>
    <row r="112" spans="1:21" x14ac:dyDescent="0.25">
      <c r="A112" s="17" t="s">
        <v>327</v>
      </c>
      <c r="B112" s="32">
        <v>46232.5</v>
      </c>
      <c r="C112" s="17" t="s">
        <v>68</v>
      </c>
      <c r="D112" s="17" t="s">
        <v>293</v>
      </c>
      <c r="E112" s="17" t="s">
        <v>116</v>
      </c>
      <c r="F112" s="17" t="s">
        <v>81</v>
      </c>
      <c r="G112" s="17" t="s">
        <v>47</v>
      </c>
      <c r="H112" s="33">
        <v>4800</v>
      </c>
      <c r="I112" s="32">
        <v>46232.566666666702</v>
      </c>
      <c r="J112" s="34">
        <v>46312</v>
      </c>
      <c r="K112" s="34">
        <v>46318</v>
      </c>
      <c r="L112" s="34"/>
      <c r="M112" s="17"/>
      <c r="N112" s="17">
        <f t="shared" si="4"/>
        <v>1.6</v>
      </c>
      <c r="O112" s="17" t="str">
        <f t="shared" si="5"/>
        <v>Open</v>
      </c>
      <c r="P112" s="35">
        <f>IF($A112="","",IF($L112&lt;&gt;"",$L112,Settings!$C$3)-INT($B112))</f>
        <v>82</v>
      </c>
      <c r="Q112" s="17">
        <f>IF($O112&lt;&gt;"Open","",Settings!$C$3-IF($J112&lt;&gt;"",$J112,INT($B112)))</f>
        <v>2</v>
      </c>
      <c r="R112" s="17" t="str">
        <f>IF($A112="","",IF($O112="Closed","Closed",IF($F112="Unassigned","Unassigned",IF(AND($K112&lt;&gt;"",$K112&lt;Settings!$C$3),"Overdue",IF($Q112&gt;=Settings!$C$4,"Inactive","On Track")))))</f>
        <v>On Track</v>
      </c>
      <c r="S112" s="17" t="str">
        <f t="shared" si="6"/>
        <v>60+ days</v>
      </c>
      <c r="T112" s="36">
        <f t="shared" si="7"/>
        <v>46204</v>
      </c>
      <c r="U112" s="33">
        <f>IF(AND($O112="Open",OR(Dashboard!$D$3="All",$F112=Dashboard!$D$3)),$H112+ROW()/100000,0)</f>
        <v>4800.0011199999999</v>
      </c>
    </row>
    <row r="113" spans="1:21" x14ac:dyDescent="0.25">
      <c r="A113" s="17" t="s">
        <v>328</v>
      </c>
      <c r="B113" s="32">
        <v>46232.597222222197</v>
      </c>
      <c r="C113" s="17" t="s">
        <v>63</v>
      </c>
      <c r="D113" s="17" t="s">
        <v>161</v>
      </c>
      <c r="E113" s="17" t="s">
        <v>116</v>
      </c>
      <c r="F113" s="17" t="s">
        <v>83</v>
      </c>
      <c r="G113" s="17" t="s">
        <v>18</v>
      </c>
      <c r="H113" s="33">
        <v>29000</v>
      </c>
      <c r="I113" s="32">
        <v>46232.7097222222</v>
      </c>
      <c r="J113" s="34">
        <v>46254</v>
      </c>
      <c r="K113" s="34"/>
      <c r="L113" s="34">
        <v>46254</v>
      </c>
      <c r="M113" s="17" t="s">
        <v>75</v>
      </c>
      <c r="N113" s="17">
        <f t="shared" si="4"/>
        <v>2.7</v>
      </c>
      <c r="O113" s="17" t="str">
        <f t="shared" si="5"/>
        <v>Closed</v>
      </c>
      <c r="P113" s="35">
        <f>IF($A113="","",IF($L113&lt;&gt;"",$L113,Settings!$C$3)-INT($B113))</f>
        <v>22</v>
      </c>
      <c r="Q113" s="17" t="str">
        <f>IF($O113&lt;&gt;"Open","",Settings!$C$3-IF($J113&lt;&gt;"",$J113,INT($B113)))</f>
        <v/>
      </c>
      <c r="R113" s="17" t="str">
        <f>IF($A113="","",IF($O113="Closed","Closed",IF($F113="Unassigned","Unassigned",IF(AND($K113&lt;&gt;"",$K113&lt;Settings!$C$3),"Overdue",IF($Q113&gt;=Settings!$C$4,"Inactive","On Track")))))</f>
        <v>Closed</v>
      </c>
      <c r="S113" s="17" t="str">
        <f t="shared" si="6"/>
        <v/>
      </c>
      <c r="T113" s="36">
        <f t="shared" si="7"/>
        <v>46204</v>
      </c>
      <c r="U113" s="33">
        <f>IF(AND($O113="Open",OR(Dashboard!$D$3="All",$F113=Dashboard!$D$3)),$H113+ROW()/100000,0)</f>
        <v>0</v>
      </c>
    </row>
    <row r="114" spans="1:21" x14ac:dyDescent="0.25">
      <c r="A114" s="17" t="s">
        <v>329</v>
      </c>
      <c r="B114" s="32">
        <v>46232.722222222197</v>
      </c>
      <c r="C114" s="17" t="s">
        <v>63</v>
      </c>
      <c r="D114" s="17" t="s">
        <v>122</v>
      </c>
      <c r="E114" s="17" t="s">
        <v>110</v>
      </c>
      <c r="F114" s="17" t="s">
        <v>81</v>
      </c>
      <c r="G114" s="17" t="s">
        <v>18</v>
      </c>
      <c r="H114" s="33">
        <v>26400</v>
      </c>
      <c r="I114" s="32">
        <v>46233.055555555598</v>
      </c>
      <c r="J114" s="34">
        <v>46262</v>
      </c>
      <c r="K114" s="34"/>
      <c r="L114" s="34">
        <v>46262</v>
      </c>
      <c r="M114" s="17" t="s">
        <v>73</v>
      </c>
      <c r="N114" s="17">
        <f t="shared" si="4"/>
        <v>8</v>
      </c>
      <c r="O114" s="17" t="str">
        <f t="shared" si="5"/>
        <v>Closed</v>
      </c>
      <c r="P114" s="35">
        <f>IF($A114="","",IF($L114&lt;&gt;"",$L114,Settings!$C$3)-INT($B114))</f>
        <v>30</v>
      </c>
      <c r="Q114" s="17" t="str">
        <f>IF($O114&lt;&gt;"Open","",Settings!$C$3-IF($J114&lt;&gt;"",$J114,INT($B114)))</f>
        <v/>
      </c>
      <c r="R114" s="17" t="str">
        <f>IF($A114="","",IF($O114="Closed","Closed",IF($F114="Unassigned","Unassigned",IF(AND($K114&lt;&gt;"",$K114&lt;Settings!$C$3),"Overdue",IF($Q114&gt;=Settings!$C$4,"Inactive","On Track")))))</f>
        <v>Closed</v>
      </c>
      <c r="S114" s="17" t="str">
        <f t="shared" si="6"/>
        <v/>
      </c>
      <c r="T114" s="36">
        <f t="shared" si="7"/>
        <v>46204</v>
      </c>
      <c r="U114" s="33">
        <f>IF(AND($O114="Open",OR(Dashboard!$D$3="All",$F114=Dashboard!$D$3)),$H114+ROW()/100000,0)</f>
        <v>0</v>
      </c>
    </row>
    <row r="115" spans="1:21" x14ac:dyDescent="0.25">
      <c r="A115" s="17" t="s">
        <v>330</v>
      </c>
      <c r="B115" s="32">
        <v>46233.534722222197</v>
      </c>
      <c r="C115" s="17" t="s">
        <v>64</v>
      </c>
      <c r="D115" s="17" t="s">
        <v>331</v>
      </c>
      <c r="E115" s="17" t="s">
        <v>138</v>
      </c>
      <c r="F115" s="17" t="s">
        <v>84</v>
      </c>
      <c r="G115" s="17" t="s">
        <v>48</v>
      </c>
      <c r="H115" s="33">
        <v>10300</v>
      </c>
      <c r="I115" s="32">
        <v>46235.2055555556</v>
      </c>
      <c r="J115" s="34">
        <v>46313</v>
      </c>
      <c r="K115" s="34">
        <v>46318</v>
      </c>
      <c r="L115" s="34"/>
      <c r="M115" s="17"/>
      <c r="N115" s="17">
        <f t="shared" si="4"/>
        <v>40.1</v>
      </c>
      <c r="O115" s="17" t="str">
        <f t="shared" si="5"/>
        <v>Open</v>
      </c>
      <c r="P115" s="35">
        <f>IF($A115="","",IF($L115&lt;&gt;"",$L115,Settings!$C$3)-INT($B115))</f>
        <v>81</v>
      </c>
      <c r="Q115" s="17">
        <f>IF($O115&lt;&gt;"Open","",Settings!$C$3-IF($J115&lt;&gt;"",$J115,INT($B115)))</f>
        <v>1</v>
      </c>
      <c r="R115" s="17" t="str">
        <f>IF($A115="","",IF($O115="Closed","Closed",IF($F115="Unassigned","Unassigned",IF(AND($K115&lt;&gt;"",$K115&lt;Settings!$C$3),"Overdue",IF($Q115&gt;=Settings!$C$4,"Inactive","On Track")))))</f>
        <v>On Track</v>
      </c>
      <c r="S115" s="17" t="str">
        <f t="shared" si="6"/>
        <v>60+ days</v>
      </c>
      <c r="T115" s="36">
        <f t="shared" si="7"/>
        <v>46204</v>
      </c>
      <c r="U115" s="33">
        <f>IF(AND($O115="Open",OR(Dashboard!$D$3="All",$F115=Dashboard!$D$3)),$H115+ROW()/100000,0)</f>
        <v>10300.00115</v>
      </c>
    </row>
    <row r="116" spans="1:21" x14ac:dyDescent="0.25">
      <c r="A116" s="17" t="s">
        <v>332</v>
      </c>
      <c r="B116" s="32">
        <v>46233.548611111102</v>
      </c>
      <c r="C116" s="17" t="s">
        <v>64</v>
      </c>
      <c r="D116" s="17" t="s">
        <v>333</v>
      </c>
      <c r="E116" s="17" t="s">
        <v>113</v>
      </c>
      <c r="F116" s="17" t="s">
        <v>84</v>
      </c>
      <c r="G116" s="17" t="s">
        <v>17</v>
      </c>
      <c r="H116" s="33">
        <v>28400</v>
      </c>
      <c r="I116" s="32">
        <v>46233.640277777798</v>
      </c>
      <c r="J116" s="34">
        <v>46265</v>
      </c>
      <c r="K116" s="34"/>
      <c r="L116" s="34">
        <v>46265</v>
      </c>
      <c r="M116" s="17"/>
      <c r="N116" s="17">
        <f t="shared" si="4"/>
        <v>2.2000000000000002</v>
      </c>
      <c r="O116" s="17" t="str">
        <f t="shared" si="5"/>
        <v>Closed</v>
      </c>
      <c r="P116" s="35">
        <f>IF($A116="","",IF($L116&lt;&gt;"",$L116,Settings!$C$3)-INT($B116))</f>
        <v>32</v>
      </c>
      <c r="Q116" s="17" t="str">
        <f>IF($O116&lt;&gt;"Open","",Settings!$C$3-IF($J116&lt;&gt;"",$J116,INT($B116)))</f>
        <v/>
      </c>
      <c r="R116" s="17" t="str">
        <f>IF($A116="","",IF($O116="Closed","Closed",IF($F116="Unassigned","Unassigned",IF(AND($K116&lt;&gt;"",$K116&lt;Settings!$C$3),"Overdue",IF($Q116&gt;=Settings!$C$4,"Inactive","On Track")))))</f>
        <v>Closed</v>
      </c>
      <c r="S116" s="17" t="str">
        <f t="shared" si="6"/>
        <v/>
      </c>
      <c r="T116" s="36">
        <f t="shared" si="7"/>
        <v>46204</v>
      </c>
      <c r="U116" s="33">
        <f>IF(AND($O116="Open",OR(Dashboard!$D$3="All",$F116=Dashboard!$D$3)),$H116+ROW()/100000,0)</f>
        <v>0</v>
      </c>
    </row>
    <row r="117" spans="1:21" x14ac:dyDescent="0.25">
      <c r="A117" s="17" t="s">
        <v>334</v>
      </c>
      <c r="B117" s="32">
        <v>46233.715277777803</v>
      </c>
      <c r="C117" s="17" t="s">
        <v>69</v>
      </c>
      <c r="D117" s="17" t="s">
        <v>243</v>
      </c>
      <c r="E117" s="17" t="s">
        <v>123</v>
      </c>
      <c r="F117" s="17" t="s">
        <v>84</v>
      </c>
      <c r="G117" s="17" t="s">
        <v>18</v>
      </c>
      <c r="H117" s="33">
        <v>38200</v>
      </c>
      <c r="I117" s="32">
        <v>46233.7902777778</v>
      </c>
      <c r="J117" s="34">
        <v>46263</v>
      </c>
      <c r="K117" s="34"/>
      <c r="L117" s="34">
        <v>46263</v>
      </c>
      <c r="M117" s="17" t="s">
        <v>75</v>
      </c>
      <c r="N117" s="17">
        <f t="shared" si="4"/>
        <v>1.8</v>
      </c>
      <c r="O117" s="17" t="str">
        <f t="shared" si="5"/>
        <v>Closed</v>
      </c>
      <c r="P117" s="35">
        <f>IF($A117="","",IF($L117&lt;&gt;"",$L117,Settings!$C$3)-INT($B117))</f>
        <v>30</v>
      </c>
      <c r="Q117" s="17" t="str">
        <f>IF($O117&lt;&gt;"Open","",Settings!$C$3-IF($J117&lt;&gt;"",$J117,INT($B117)))</f>
        <v/>
      </c>
      <c r="R117" s="17" t="str">
        <f>IF($A117="","",IF($O117="Closed","Closed",IF($F117="Unassigned","Unassigned",IF(AND($K117&lt;&gt;"",$K117&lt;Settings!$C$3),"Overdue",IF($Q117&gt;=Settings!$C$4,"Inactive","On Track")))))</f>
        <v>Closed</v>
      </c>
      <c r="S117" s="17" t="str">
        <f t="shared" si="6"/>
        <v/>
      </c>
      <c r="T117" s="36">
        <f t="shared" si="7"/>
        <v>46204</v>
      </c>
      <c r="U117" s="33">
        <f>IF(AND($O117="Open",OR(Dashboard!$D$3="All",$F117=Dashboard!$D$3)),$H117+ROW()/100000,0)</f>
        <v>0</v>
      </c>
    </row>
    <row r="118" spans="1:21" x14ac:dyDescent="0.25">
      <c r="A118" s="17" t="s">
        <v>335</v>
      </c>
      <c r="B118" s="32">
        <v>46234.4375</v>
      </c>
      <c r="C118" s="17" t="s">
        <v>62</v>
      </c>
      <c r="D118" s="17" t="s">
        <v>175</v>
      </c>
      <c r="E118" s="17" t="s">
        <v>138</v>
      </c>
      <c r="F118" s="17" t="s">
        <v>80</v>
      </c>
      <c r="G118" s="17" t="s">
        <v>17</v>
      </c>
      <c r="H118" s="33">
        <v>63500</v>
      </c>
      <c r="I118" s="32">
        <v>46234.762499999997</v>
      </c>
      <c r="J118" s="34">
        <v>46265</v>
      </c>
      <c r="K118" s="34"/>
      <c r="L118" s="34">
        <v>46265</v>
      </c>
      <c r="M118" s="17"/>
      <c r="N118" s="17">
        <f t="shared" si="4"/>
        <v>7.8</v>
      </c>
      <c r="O118" s="17" t="str">
        <f t="shared" si="5"/>
        <v>Closed</v>
      </c>
      <c r="P118" s="35">
        <f>IF($A118="","",IF($L118&lt;&gt;"",$L118,Settings!$C$3)-INT($B118))</f>
        <v>31</v>
      </c>
      <c r="Q118" s="17" t="str">
        <f>IF($O118&lt;&gt;"Open","",Settings!$C$3-IF($J118&lt;&gt;"",$J118,INT($B118)))</f>
        <v/>
      </c>
      <c r="R118" s="17" t="str">
        <f>IF($A118="","",IF($O118="Closed","Closed",IF($F118="Unassigned","Unassigned",IF(AND($K118&lt;&gt;"",$K118&lt;Settings!$C$3),"Overdue",IF($Q118&gt;=Settings!$C$4,"Inactive","On Track")))))</f>
        <v>Closed</v>
      </c>
      <c r="S118" s="17" t="str">
        <f t="shared" si="6"/>
        <v/>
      </c>
      <c r="T118" s="36">
        <f t="shared" si="7"/>
        <v>46204</v>
      </c>
      <c r="U118" s="33">
        <f>IF(AND($O118="Open",OR(Dashboard!$D$3="All",$F118=Dashboard!$D$3)),$H118+ROW()/100000,0)</f>
        <v>0</v>
      </c>
    </row>
    <row r="119" spans="1:21" x14ac:dyDescent="0.25">
      <c r="A119" s="17" t="s">
        <v>336</v>
      </c>
      <c r="B119" s="32">
        <v>46235.4375</v>
      </c>
      <c r="C119" s="17" t="s">
        <v>63</v>
      </c>
      <c r="D119" s="17" t="s">
        <v>273</v>
      </c>
      <c r="E119" s="17" t="s">
        <v>110</v>
      </c>
      <c r="F119" s="17" t="s">
        <v>85</v>
      </c>
      <c r="G119" s="17" t="s">
        <v>17</v>
      </c>
      <c r="H119" s="33">
        <v>20300</v>
      </c>
      <c r="I119" s="32">
        <v>46235.958333333299</v>
      </c>
      <c r="J119" s="34">
        <v>46247</v>
      </c>
      <c r="K119" s="34"/>
      <c r="L119" s="34">
        <v>46247</v>
      </c>
      <c r="M119" s="17"/>
      <c r="N119" s="17">
        <f t="shared" si="4"/>
        <v>12.5</v>
      </c>
      <c r="O119" s="17" t="str">
        <f t="shared" si="5"/>
        <v>Closed</v>
      </c>
      <c r="P119" s="35">
        <f>IF($A119="","",IF($L119&lt;&gt;"",$L119,Settings!$C$3)-INT($B119))</f>
        <v>12</v>
      </c>
      <c r="Q119" s="17" t="str">
        <f>IF($O119&lt;&gt;"Open","",Settings!$C$3-IF($J119&lt;&gt;"",$J119,INT($B119)))</f>
        <v/>
      </c>
      <c r="R119" s="17" t="str">
        <f>IF($A119="","",IF($O119="Closed","Closed",IF($F119="Unassigned","Unassigned",IF(AND($K119&lt;&gt;"",$K119&lt;Settings!$C$3),"Overdue",IF($Q119&gt;=Settings!$C$4,"Inactive","On Track")))))</f>
        <v>Closed</v>
      </c>
      <c r="S119" s="17" t="str">
        <f t="shared" si="6"/>
        <v/>
      </c>
      <c r="T119" s="36">
        <f t="shared" si="7"/>
        <v>46235</v>
      </c>
      <c r="U119" s="33">
        <f>IF(AND($O119="Open",OR(Dashboard!$D$3="All",$F119=Dashboard!$D$3)),$H119+ROW()/100000,0)</f>
        <v>0</v>
      </c>
    </row>
    <row r="120" spans="1:21" x14ac:dyDescent="0.25">
      <c r="A120" s="17" t="s">
        <v>337</v>
      </c>
      <c r="B120" s="32">
        <v>46235.520833333299</v>
      </c>
      <c r="C120" s="17" t="s">
        <v>62</v>
      </c>
      <c r="D120" s="17" t="s">
        <v>301</v>
      </c>
      <c r="E120" s="17" t="s">
        <v>138</v>
      </c>
      <c r="F120" s="17" t="s">
        <v>81</v>
      </c>
      <c r="G120" s="17" t="s">
        <v>18</v>
      </c>
      <c r="H120" s="33">
        <v>12400</v>
      </c>
      <c r="I120" s="32">
        <v>46235.666666666701</v>
      </c>
      <c r="J120" s="34">
        <v>46245</v>
      </c>
      <c r="K120" s="34"/>
      <c r="L120" s="34">
        <v>46245</v>
      </c>
      <c r="M120" s="17" t="s">
        <v>73</v>
      </c>
      <c r="N120" s="17">
        <f t="shared" si="4"/>
        <v>3.5</v>
      </c>
      <c r="O120" s="17" t="str">
        <f t="shared" si="5"/>
        <v>Closed</v>
      </c>
      <c r="P120" s="35">
        <f>IF($A120="","",IF($L120&lt;&gt;"",$L120,Settings!$C$3)-INT($B120))</f>
        <v>10</v>
      </c>
      <c r="Q120" s="17" t="str">
        <f>IF($O120&lt;&gt;"Open","",Settings!$C$3-IF($J120&lt;&gt;"",$J120,INT($B120)))</f>
        <v/>
      </c>
      <c r="R120" s="17" t="str">
        <f>IF($A120="","",IF($O120="Closed","Closed",IF($F120="Unassigned","Unassigned",IF(AND($K120&lt;&gt;"",$K120&lt;Settings!$C$3),"Overdue",IF($Q120&gt;=Settings!$C$4,"Inactive","On Track")))))</f>
        <v>Closed</v>
      </c>
      <c r="S120" s="17" t="str">
        <f t="shared" si="6"/>
        <v/>
      </c>
      <c r="T120" s="36">
        <f t="shared" si="7"/>
        <v>46235</v>
      </c>
      <c r="U120" s="33">
        <f>IF(AND($O120="Open",OR(Dashboard!$D$3="All",$F120=Dashboard!$D$3)),$H120+ROW()/100000,0)</f>
        <v>0</v>
      </c>
    </row>
    <row r="121" spans="1:21" x14ac:dyDescent="0.25">
      <c r="A121" s="17" t="s">
        <v>338</v>
      </c>
      <c r="B121" s="32">
        <v>46235.618055555598</v>
      </c>
      <c r="C121" s="17" t="s">
        <v>67</v>
      </c>
      <c r="D121" s="17" t="s">
        <v>221</v>
      </c>
      <c r="E121" s="17" t="s">
        <v>110</v>
      </c>
      <c r="F121" s="17" t="s">
        <v>84</v>
      </c>
      <c r="G121" s="17" t="s">
        <v>18</v>
      </c>
      <c r="H121" s="33">
        <v>53300</v>
      </c>
      <c r="I121" s="32">
        <v>46236.193055555603</v>
      </c>
      <c r="J121" s="34">
        <v>46244</v>
      </c>
      <c r="K121" s="34"/>
      <c r="L121" s="34">
        <v>46244</v>
      </c>
      <c r="M121" s="17" t="s">
        <v>75</v>
      </c>
      <c r="N121" s="17">
        <f t="shared" si="4"/>
        <v>13.8</v>
      </c>
      <c r="O121" s="17" t="str">
        <f t="shared" si="5"/>
        <v>Closed</v>
      </c>
      <c r="P121" s="35">
        <f>IF($A121="","",IF($L121&lt;&gt;"",$L121,Settings!$C$3)-INT($B121))</f>
        <v>9</v>
      </c>
      <c r="Q121" s="17" t="str">
        <f>IF($O121&lt;&gt;"Open","",Settings!$C$3-IF($J121&lt;&gt;"",$J121,INT($B121)))</f>
        <v/>
      </c>
      <c r="R121" s="17" t="str">
        <f>IF($A121="","",IF($O121="Closed","Closed",IF($F121="Unassigned","Unassigned",IF(AND($K121&lt;&gt;"",$K121&lt;Settings!$C$3),"Overdue",IF($Q121&gt;=Settings!$C$4,"Inactive","On Track")))))</f>
        <v>Closed</v>
      </c>
      <c r="S121" s="17" t="str">
        <f t="shared" si="6"/>
        <v/>
      </c>
      <c r="T121" s="36">
        <f t="shared" si="7"/>
        <v>46235</v>
      </c>
      <c r="U121" s="33">
        <f>IF(AND($O121="Open",OR(Dashboard!$D$3="All",$F121=Dashboard!$D$3)),$H121+ROW()/100000,0)</f>
        <v>0</v>
      </c>
    </row>
    <row r="122" spans="1:21" x14ac:dyDescent="0.25">
      <c r="A122" s="17" t="s">
        <v>339</v>
      </c>
      <c r="B122" s="32">
        <v>46235.652777777803</v>
      </c>
      <c r="C122" s="17" t="s">
        <v>69</v>
      </c>
      <c r="D122" s="17" t="s">
        <v>283</v>
      </c>
      <c r="E122" s="17" t="s">
        <v>113</v>
      </c>
      <c r="F122" s="17" t="s">
        <v>81</v>
      </c>
      <c r="G122" s="17" t="s">
        <v>17</v>
      </c>
      <c r="H122" s="33">
        <v>18500</v>
      </c>
      <c r="I122" s="32">
        <v>46236.269444444399</v>
      </c>
      <c r="J122" s="34">
        <v>46274</v>
      </c>
      <c r="K122" s="34"/>
      <c r="L122" s="34">
        <v>46274</v>
      </c>
      <c r="M122" s="17"/>
      <c r="N122" s="17">
        <f t="shared" si="4"/>
        <v>14.8</v>
      </c>
      <c r="O122" s="17" t="str">
        <f t="shared" si="5"/>
        <v>Closed</v>
      </c>
      <c r="P122" s="35">
        <f>IF($A122="","",IF($L122&lt;&gt;"",$L122,Settings!$C$3)-INT($B122))</f>
        <v>39</v>
      </c>
      <c r="Q122" s="17" t="str">
        <f>IF($O122&lt;&gt;"Open","",Settings!$C$3-IF($J122&lt;&gt;"",$J122,INT($B122)))</f>
        <v/>
      </c>
      <c r="R122" s="17" t="str">
        <f>IF($A122="","",IF($O122="Closed","Closed",IF($F122="Unassigned","Unassigned",IF(AND($K122&lt;&gt;"",$K122&lt;Settings!$C$3),"Overdue",IF($Q122&gt;=Settings!$C$4,"Inactive","On Track")))))</f>
        <v>Closed</v>
      </c>
      <c r="S122" s="17" t="str">
        <f t="shared" si="6"/>
        <v/>
      </c>
      <c r="T122" s="36">
        <f t="shared" si="7"/>
        <v>46235</v>
      </c>
      <c r="U122" s="33">
        <f>IF(AND($O122="Open",OR(Dashboard!$D$3="All",$F122=Dashboard!$D$3)),$H122+ROW()/100000,0)</f>
        <v>0</v>
      </c>
    </row>
    <row r="123" spans="1:21" x14ac:dyDescent="0.25">
      <c r="A123" s="17" t="s">
        <v>340</v>
      </c>
      <c r="B123" s="32">
        <v>46236.534722222197</v>
      </c>
      <c r="C123" s="17" t="s">
        <v>63</v>
      </c>
      <c r="D123" s="17" t="s">
        <v>267</v>
      </c>
      <c r="E123" s="17" t="s">
        <v>110</v>
      </c>
      <c r="F123" s="17" t="s">
        <v>84</v>
      </c>
      <c r="G123" s="17" t="s">
        <v>18</v>
      </c>
      <c r="H123" s="33">
        <v>133400</v>
      </c>
      <c r="I123" s="32">
        <v>46237.009722222203</v>
      </c>
      <c r="J123" s="34">
        <v>46252</v>
      </c>
      <c r="K123" s="34"/>
      <c r="L123" s="34">
        <v>46252</v>
      </c>
      <c r="M123" s="17" t="s">
        <v>76</v>
      </c>
      <c r="N123" s="17">
        <f t="shared" si="4"/>
        <v>11.4</v>
      </c>
      <c r="O123" s="17" t="str">
        <f t="shared" si="5"/>
        <v>Closed</v>
      </c>
      <c r="P123" s="35">
        <f>IF($A123="","",IF($L123&lt;&gt;"",$L123,Settings!$C$3)-INT($B123))</f>
        <v>16</v>
      </c>
      <c r="Q123" s="17" t="str">
        <f>IF($O123&lt;&gt;"Open","",Settings!$C$3-IF($J123&lt;&gt;"",$J123,INT($B123)))</f>
        <v/>
      </c>
      <c r="R123" s="17" t="str">
        <f>IF($A123="","",IF($O123="Closed","Closed",IF($F123="Unassigned","Unassigned",IF(AND($K123&lt;&gt;"",$K123&lt;Settings!$C$3),"Overdue",IF($Q123&gt;=Settings!$C$4,"Inactive","On Track")))))</f>
        <v>Closed</v>
      </c>
      <c r="S123" s="17" t="str">
        <f t="shared" si="6"/>
        <v/>
      </c>
      <c r="T123" s="36">
        <f t="shared" si="7"/>
        <v>46235</v>
      </c>
      <c r="U123" s="33">
        <f>IF(AND($O123="Open",OR(Dashboard!$D$3="All",$F123=Dashboard!$D$3)),$H123+ROW()/100000,0)</f>
        <v>0</v>
      </c>
    </row>
    <row r="124" spans="1:21" x14ac:dyDescent="0.25">
      <c r="A124" s="17" t="s">
        <v>341</v>
      </c>
      <c r="B124" s="32">
        <v>46237.402777777803</v>
      </c>
      <c r="C124" s="17" t="s">
        <v>63</v>
      </c>
      <c r="D124" s="17" t="s">
        <v>203</v>
      </c>
      <c r="E124" s="17" t="s">
        <v>123</v>
      </c>
      <c r="F124" s="17" t="s">
        <v>83</v>
      </c>
      <c r="G124" s="17" t="s">
        <v>18</v>
      </c>
      <c r="H124" s="33">
        <v>5800</v>
      </c>
      <c r="I124" s="32">
        <v>46237.448611111096</v>
      </c>
      <c r="J124" s="34">
        <v>46248</v>
      </c>
      <c r="K124" s="34"/>
      <c r="L124" s="34">
        <v>46248</v>
      </c>
      <c r="M124" s="17" t="s">
        <v>73</v>
      </c>
      <c r="N124" s="17">
        <f t="shared" si="4"/>
        <v>1.1000000000000001</v>
      </c>
      <c r="O124" s="17" t="str">
        <f t="shared" si="5"/>
        <v>Closed</v>
      </c>
      <c r="P124" s="35">
        <f>IF($A124="","",IF($L124&lt;&gt;"",$L124,Settings!$C$3)-INT($B124))</f>
        <v>11</v>
      </c>
      <c r="Q124" s="17" t="str">
        <f>IF($O124&lt;&gt;"Open","",Settings!$C$3-IF($J124&lt;&gt;"",$J124,INT($B124)))</f>
        <v/>
      </c>
      <c r="R124" s="17" t="str">
        <f>IF($A124="","",IF($O124="Closed","Closed",IF($F124="Unassigned","Unassigned",IF(AND($K124&lt;&gt;"",$K124&lt;Settings!$C$3),"Overdue",IF($Q124&gt;=Settings!$C$4,"Inactive","On Track")))))</f>
        <v>Closed</v>
      </c>
      <c r="S124" s="17" t="str">
        <f t="shared" si="6"/>
        <v/>
      </c>
      <c r="T124" s="36">
        <f t="shared" si="7"/>
        <v>46235</v>
      </c>
      <c r="U124" s="33">
        <f>IF(AND($O124="Open",OR(Dashboard!$D$3="All",$F124=Dashboard!$D$3)),$H124+ROW()/100000,0)</f>
        <v>0</v>
      </c>
    </row>
    <row r="125" spans="1:21" x14ac:dyDescent="0.25">
      <c r="A125" s="17" t="s">
        <v>342</v>
      </c>
      <c r="B125" s="32">
        <v>46238.451388888898</v>
      </c>
      <c r="C125" s="17" t="s">
        <v>68</v>
      </c>
      <c r="D125" s="17" t="s">
        <v>223</v>
      </c>
      <c r="E125" s="17" t="s">
        <v>116</v>
      </c>
      <c r="F125" s="17" t="s">
        <v>80</v>
      </c>
      <c r="G125" s="17" t="s">
        <v>47</v>
      </c>
      <c r="H125" s="33">
        <v>11200</v>
      </c>
      <c r="I125" s="32">
        <v>46238.501388888901</v>
      </c>
      <c r="J125" s="34">
        <v>46312</v>
      </c>
      <c r="K125" s="34">
        <v>46320</v>
      </c>
      <c r="L125" s="34"/>
      <c r="M125" s="17"/>
      <c r="N125" s="17">
        <f t="shared" si="4"/>
        <v>1.2</v>
      </c>
      <c r="O125" s="17" t="str">
        <f t="shared" si="5"/>
        <v>Open</v>
      </c>
      <c r="P125" s="35">
        <f>IF($A125="","",IF($L125&lt;&gt;"",$L125,Settings!$C$3)-INT($B125))</f>
        <v>76</v>
      </c>
      <c r="Q125" s="17">
        <f>IF($O125&lt;&gt;"Open","",Settings!$C$3-IF($J125&lt;&gt;"",$J125,INT($B125)))</f>
        <v>2</v>
      </c>
      <c r="R125" s="17" t="str">
        <f>IF($A125="","",IF($O125="Closed","Closed",IF($F125="Unassigned","Unassigned",IF(AND($K125&lt;&gt;"",$K125&lt;Settings!$C$3),"Overdue",IF($Q125&gt;=Settings!$C$4,"Inactive","On Track")))))</f>
        <v>On Track</v>
      </c>
      <c r="S125" s="17" t="str">
        <f t="shared" si="6"/>
        <v>60+ days</v>
      </c>
      <c r="T125" s="36">
        <f t="shared" si="7"/>
        <v>46235</v>
      </c>
      <c r="U125" s="33">
        <f>IF(AND($O125="Open",OR(Dashboard!$D$3="All",$F125=Dashboard!$D$3)),$H125+ROW()/100000,0)</f>
        <v>11200.001249999999</v>
      </c>
    </row>
    <row r="126" spans="1:21" x14ac:dyDescent="0.25">
      <c r="A126" s="17" t="s">
        <v>343</v>
      </c>
      <c r="B126" s="32">
        <v>46238.715277777803</v>
      </c>
      <c r="C126" s="17" t="s">
        <v>68</v>
      </c>
      <c r="D126" s="17" t="s">
        <v>169</v>
      </c>
      <c r="E126" s="17" t="s">
        <v>116</v>
      </c>
      <c r="F126" s="17" t="s">
        <v>82</v>
      </c>
      <c r="G126" s="17" t="s">
        <v>17</v>
      </c>
      <c r="H126" s="33">
        <v>15300</v>
      </c>
      <c r="I126" s="32">
        <v>46238.765277777798</v>
      </c>
      <c r="J126" s="34">
        <v>46258</v>
      </c>
      <c r="K126" s="34"/>
      <c r="L126" s="34">
        <v>46258</v>
      </c>
      <c r="M126" s="17"/>
      <c r="N126" s="17">
        <f t="shared" si="4"/>
        <v>1.2</v>
      </c>
      <c r="O126" s="17" t="str">
        <f t="shared" si="5"/>
        <v>Closed</v>
      </c>
      <c r="P126" s="35">
        <f>IF($A126="","",IF($L126&lt;&gt;"",$L126,Settings!$C$3)-INT($B126))</f>
        <v>20</v>
      </c>
      <c r="Q126" s="17" t="str">
        <f>IF($O126&lt;&gt;"Open","",Settings!$C$3-IF($J126&lt;&gt;"",$J126,INT($B126)))</f>
        <v/>
      </c>
      <c r="R126" s="17" t="str">
        <f>IF($A126="","",IF($O126="Closed","Closed",IF($F126="Unassigned","Unassigned",IF(AND($K126&lt;&gt;"",$K126&lt;Settings!$C$3),"Overdue",IF($Q126&gt;=Settings!$C$4,"Inactive","On Track")))))</f>
        <v>Closed</v>
      </c>
      <c r="S126" s="17" t="str">
        <f t="shared" si="6"/>
        <v/>
      </c>
      <c r="T126" s="36">
        <f t="shared" si="7"/>
        <v>46235</v>
      </c>
      <c r="U126" s="33">
        <f>IF(AND($O126="Open",OR(Dashboard!$D$3="All",$F126=Dashboard!$D$3)),$H126+ROW()/100000,0)</f>
        <v>0</v>
      </c>
    </row>
    <row r="127" spans="1:21" x14ac:dyDescent="0.25">
      <c r="A127" s="17" t="s">
        <v>344</v>
      </c>
      <c r="B127" s="32">
        <v>46239.638888888898</v>
      </c>
      <c r="C127" s="17" t="s">
        <v>63</v>
      </c>
      <c r="D127" s="17" t="s">
        <v>191</v>
      </c>
      <c r="E127" s="17" t="s">
        <v>116</v>
      </c>
      <c r="F127" s="17" t="s">
        <v>85</v>
      </c>
      <c r="G127" s="17" t="s">
        <v>17</v>
      </c>
      <c r="H127" s="33">
        <v>54300</v>
      </c>
      <c r="I127" s="32">
        <v>46239.951388888898</v>
      </c>
      <c r="J127" s="34">
        <v>46260</v>
      </c>
      <c r="K127" s="34"/>
      <c r="L127" s="34">
        <v>46260</v>
      </c>
      <c r="M127" s="17"/>
      <c r="N127" s="17">
        <f t="shared" si="4"/>
        <v>7.5</v>
      </c>
      <c r="O127" s="17" t="str">
        <f t="shared" si="5"/>
        <v>Closed</v>
      </c>
      <c r="P127" s="35">
        <f>IF($A127="","",IF($L127&lt;&gt;"",$L127,Settings!$C$3)-INT($B127))</f>
        <v>21</v>
      </c>
      <c r="Q127" s="17" t="str">
        <f>IF($O127&lt;&gt;"Open","",Settings!$C$3-IF($J127&lt;&gt;"",$J127,INT($B127)))</f>
        <v/>
      </c>
      <c r="R127" s="17" t="str">
        <f>IF($A127="","",IF($O127="Closed","Closed",IF($F127="Unassigned","Unassigned",IF(AND($K127&lt;&gt;"",$K127&lt;Settings!$C$3),"Overdue",IF($Q127&gt;=Settings!$C$4,"Inactive","On Track")))))</f>
        <v>Closed</v>
      </c>
      <c r="S127" s="17" t="str">
        <f t="shared" si="6"/>
        <v/>
      </c>
      <c r="T127" s="36">
        <f t="shared" si="7"/>
        <v>46235</v>
      </c>
      <c r="U127" s="33">
        <f>IF(AND($O127="Open",OR(Dashboard!$D$3="All",$F127=Dashboard!$D$3)),$H127+ROW()/100000,0)</f>
        <v>0</v>
      </c>
    </row>
    <row r="128" spans="1:21" x14ac:dyDescent="0.25">
      <c r="A128" s="17" t="s">
        <v>345</v>
      </c>
      <c r="B128" s="32">
        <v>46240.618055555598</v>
      </c>
      <c r="C128" s="17" t="s">
        <v>64</v>
      </c>
      <c r="D128" s="17" t="s">
        <v>115</v>
      </c>
      <c r="E128" s="17" t="s">
        <v>116</v>
      </c>
      <c r="F128" s="17" t="s">
        <v>80</v>
      </c>
      <c r="G128" s="17" t="s">
        <v>48</v>
      </c>
      <c r="H128" s="33">
        <v>60600</v>
      </c>
      <c r="I128" s="32">
        <v>46240.738888888904</v>
      </c>
      <c r="J128" s="34">
        <v>46302</v>
      </c>
      <c r="K128" s="34">
        <v>46307</v>
      </c>
      <c r="L128" s="34"/>
      <c r="M128" s="17"/>
      <c r="N128" s="17">
        <f t="shared" si="4"/>
        <v>2.9</v>
      </c>
      <c r="O128" s="17" t="str">
        <f t="shared" si="5"/>
        <v>Open</v>
      </c>
      <c r="P128" s="35">
        <f>IF($A128="","",IF($L128&lt;&gt;"",$L128,Settings!$C$3)-INT($B128))</f>
        <v>74</v>
      </c>
      <c r="Q128" s="17">
        <f>IF($O128&lt;&gt;"Open","",Settings!$C$3-IF($J128&lt;&gt;"",$J128,INT($B128)))</f>
        <v>12</v>
      </c>
      <c r="R128" s="17" t="str">
        <f>IF($A128="","",IF($O128="Closed","Closed",IF($F128="Unassigned","Unassigned",IF(AND($K128&lt;&gt;"",$K128&lt;Settings!$C$3),"Overdue",IF($Q128&gt;=Settings!$C$4,"Inactive","On Track")))))</f>
        <v>Overdue</v>
      </c>
      <c r="S128" s="17" t="str">
        <f t="shared" si="6"/>
        <v>60+ days</v>
      </c>
      <c r="T128" s="36">
        <f t="shared" si="7"/>
        <v>46235</v>
      </c>
      <c r="U128" s="33">
        <f>IF(AND($O128="Open",OR(Dashboard!$D$3="All",$F128=Dashboard!$D$3)),$H128+ROW()/100000,0)</f>
        <v>60600.001279999997</v>
      </c>
    </row>
    <row r="129" spans="1:21" x14ac:dyDescent="0.25">
      <c r="A129" s="17" t="s">
        <v>346</v>
      </c>
      <c r="B129" s="32">
        <v>46240.729166666701</v>
      </c>
      <c r="C129" s="17" t="s">
        <v>65</v>
      </c>
      <c r="D129" s="17" t="s">
        <v>207</v>
      </c>
      <c r="E129" s="17" t="s">
        <v>147</v>
      </c>
      <c r="F129" s="17" t="s">
        <v>82</v>
      </c>
      <c r="G129" s="17" t="s">
        <v>47</v>
      </c>
      <c r="H129" s="33">
        <v>46000</v>
      </c>
      <c r="I129" s="32">
        <v>46241.558333333298</v>
      </c>
      <c r="J129" s="34">
        <v>46309</v>
      </c>
      <c r="K129" s="34">
        <v>46318</v>
      </c>
      <c r="L129" s="34"/>
      <c r="M129" s="17"/>
      <c r="N129" s="17">
        <f t="shared" si="4"/>
        <v>19.899999999999999</v>
      </c>
      <c r="O129" s="17" t="str">
        <f t="shared" si="5"/>
        <v>Open</v>
      </c>
      <c r="P129" s="35">
        <f>IF($A129="","",IF($L129&lt;&gt;"",$L129,Settings!$C$3)-INT($B129))</f>
        <v>74</v>
      </c>
      <c r="Q129" s="17">
        <f>IF($O129&lt;&gt;"Open","",Settings!$C$3-IF($J129&lt;&gt;"",$J129,INT($B129)))</f>
        <v>5</v>
      </c>
      <c r="R129" s="17" t="str">
        <f>IF($A129="","",IF($O129="Closed","Closed",IF($F129="Unassigned","Unassigned",IF(AND($K129&lt;&gt;"",$K129&lt;Settings!$C$3),"Overdue",IF($Q129&gt;=Settings!$C$4,"Inactive","On Track")))))</f>
        <v>On Track</v>
      </c>
      <c r="S129" s="17" t="str">
        <f t="shared" si="6"/>
        <v>60+ days</v>
      </c>
      <c r="T129" s="36">
        <f t="shared" si="7"/>
        <v>46235</v>
      </c>
      <c r="U129" s="33">
        <f>IF(AND($O129="Open",OR(Dashboard!$D$3="All",$F129=Dashboard!$D$3)),$H129+ROW()/100000,0)</f>
        <v>46000.00129</v>
      </c>
    </row>
    <row r="130" spans="1:21" x14ac:dyDescent="0.25">
      <c r="A130" s="17" t="s">
        <v>347</v>
      </c>
      <c r="B130" s="32">
        <v>46241.444444444503</v>
      </c>
      <c r="C130" s="17" t="s">
        <v>63</v>
      </c>
      <c r="D130" s="17" t="s">
        <v>293</v>
      </c>
      <c r="E130" s="17" t="s">
        <v>147</v>
      </c>
      <c r="F130" s="17" t="s">
        <v>80</v>
      </c>
      <c r="G130" s="17" t="s">
        <v>46</v>
      </c>
      <c r="H130" s="33">
        <v>29000</v>
      </c>
      <c r="I130" s="32">
        <v>46241.631944444503</v>
      </c>
      <c r="J130" s="34">
        <v>46302</v>
      </c>
      <c r="K130" s="34">
        <v>46308</v>
      </c>
      <c r="L130" s="34"/>
      <c r="M130" s="17"/>
      <c r="N130" s="17">
        <f t="shared" ref="N130:N193" si="8">IF(OR($A130="",$I130=""),"",ROUND(($I130-$B130)*24,1))</f>
        <v>4.5</v>
      </c>
      <c r="O130" s="17" t="str">
        <f t="shared" ref="O130:O193" si="9">IF($A130="","",IF(OR($G130="Won",$G130="Lost"),"Closed","Open"))</f>
        <v>Open</v>
      </c>
      <c r="P130" s="35">
        <f>IF($A130="","",IF($L130&lt;&gt;"",$L130,Settings!$C$3)-INT($B130))</f>
        <v>73</v>
      </c>
      <c r="Q130" s="17">
        <f>IF($O130&lt;&gt;"Open","",Settings!$C$3-IF($J130&lt;&gt;"",$J130,INT($B130)))</f>
        <v>12</v>
      </c>
      <c r="R130" s="17" t="str">
        <f>IF($A130="","",IF($O130="Closed","Closed",IF($F130="Unassigned","Unassigned",IF(AND($K130&lt;&gt;"",$K130&lt;Settings!$C$3),"Overdue",IF($Q130&gt;=Settings!$C$4,"Inactive","On Track")))))</f>
        <v>Overdue</v>
      </c>
      <c r="S130" s="17" t="str">
        <f t="shared" ref="S130:S193" si="10">IF($O130&lt;&gt;"Open","",IF($P130&lt;=7,"0-7 days",IF($P130&lt;=15,"8-15 days",IF($P130&lt;=30,"16-30 days",IF($P130&lt;=60,"31-60 days","60+ days")))))</f>
        <v>60+ days</v>
      </c>
      <c r="T130" s="36">
        <f t="shared" ref="T130:T193" si="11">IF($A130="","",DATE(YEAR($B130),MONTH($B130),1))</f>
        <v>46235</v>
      </c>
      <c r="U130" s="33">
        <f>IF(AND($O130="Open",OR(Dashboard!$D$3="All",$F130=Dashboard!$D$3)),$H130+ROW()/100000,0)</f>
        <v>29000.0013</v>
      </c>
    </row>
    <row r="131" spans="1:21" x14ac:dyDescent="0.25">
      <c r="A131" s="17" t="s">
        <v>348</v>
      </c>
      <c r="B131" s="32">
        <v>46241.5</v>
      </c>
      <c r="C131" s="17" t="s">
        <v>62</v>
      </c>
      <c r="D131" s="17" t="s">
        <v>201</v>
      </c>
      <c r="E131" s="17" t="s">
        <v>123</v>
      </c>
      <c r="F131" s="17" t="s">
        <v>80</v>
      </c>
      <c r="G131" s="17" t="s">
        <v>48</v>
      </c>
      <c r="H131" s="33">
        <v>36100</v>
      </c>
      <c r="I131" s="32">
        <v>46241.533333333296</v>
      </c>
      <c r="J131" s="34">
        <v>46312</v>
      </c>
      <c r="K131" s="34">
        <v>46314</v>
      </c>
      <c r="L131" s="34"/>
      <c r="M131" s="17"/>
      <c r="N131" s="17">
        <f t="shared" si="8"/>
        <v>0.8</v>
      </c>
      <c r="O131" s="17" t="str">
        <f t="shared" si="9"/>
        <v>Open</v>
      </c>
      <c r="P131" s="35">
        <f>IF($A131="","",IF($L131&lt;&gt;"",$L131,Settings!$C$3)-INT($B131))</f>
        <v>73</v>
      </c>
      <c r="Q131" s="17">
        <f>IF($O131&lt;&gt;"Open","",Settings!$C$3-IF($J131&lt;&gt;"",$J131,INT($B131)))</f>
        <v>2</v>
      </c>
      <c r="R131" s="17" t="str">
        <f>IF($A131="","",IF($O131="Closed","Closed",IF($F131="Unassigned","Unassigned",IF(AND($K131&lt;&gt;"",$K131&lt;Settings!$C$3),"Overdue",IF($Q131&gt;=Settings!$C$4,"Inactive","On Track")))))</f>
        <v>On Track</v>
      </c>
      <c r="S131" s="17" t="str">
        <f t="shared" si="10"/>
        <v>60+ days</v>
      </c>
      <c r="T131" s="36">
        <f t="shared" si="11"/>
        <v>46235</v>
      </c>
      <c r="U131" s="33">
        <f>IF(AND($O131="Open",OR(Dashboard!$D$3="All",$F131=Dashboard!$D$3)),$H131+ROW()/100000,0)</f>
        <v>36100.00131</v>
      </c>
    </row>
    <row r="132" spans="1:21" x14ac:dyDescent="0.25">
      <c r="A132" s="17" t="s">
        <v>349</v>
      </c>
      <c r="B132" s="32">
        <v>46241.729166666701</v>
      </c>
      <c r="C132" s="17" t="s">
        <v>67</v>
      </c>
      <c r="D132" s="17" t="s">
        <v>307</v>
      </c>
      <c r="E132" s="17" t="s">
        <v>138</v>
      </c>
      <c r="F132" s="17" t="s">
        <v>81</v>
      </c>
      <c r="G132" s="17" t="s">
        <v>48</v>
      </c>
      <c r="H132" s="33">
        <v>331500</v>
      </c>
      <c r="I132" s="32">
        <v>46241.845833333296</v>
      </c>
      <c r="J132" s="34">
        <v>46311</v>
      </c>
      <c r="K132" s="34">
        <v>46318</v>
      </c>
      <c r="L132" s="34"/>
      <c r="M132" s="17"/>
      <c r="N132" s="17">
        <f t="shared" si="8"/>
        <v>2.8</v>
      </c>
      <c r="O132" s="17" t="str">
        <f t="shared" si="9"/>
        <v>Open</v>
      </c>
      <c r="P132" s="35">
        <f>IF($A132="","",IF($L132&lt;&gt;"",$L132,Settings!$C$3)-INT($B132))</f>
        <v>73</v>
      </c>
      <c r="Q132" s="17">
        <f>IF($O132&lt;&gt;"Open","",Settings!$C$3-IF($J132&lt;&gt;"",$J132,INT($B132)))</f>
        <v>3</v>
      </c>
      <c r="R132" s="17" t="str">
        <f>IF($A132="","",IF($O132="Closed","Closed",IF($F132="Unassigned","Unassigned",IF(AND($K132&lt;&gt;"",$K132&lt;Settings!$C$3),"Overdue",IF($Q132&gt;=Settings!$C$4,"Inactive","On Track")))))</f>
        <v>On Track</v>
      </c>
      <c r="S132" s="17" t="str">
        <f t="shared" si="10"/>
        <v>60+ days</v>
      </c>
      <c r="T132" s="36">
        <f t="shared" si="11"/>
        <v>46235</v>
      </c>
      <c r="U132" s="33">
        <f>IF(AND($O132="Open",OR(Dashboard!$D$3="All",$F132=Dashboard!$D$3)),$H132+ROW()/100000,0)</f>
        <v>331500.00131999998</v>
      </c>
    </row>
    <row r="133" spans="1:21" x14ac:dyDescent="0.25">
      <c r="A133" s="17" t="s">
        <v>350</v>
      </c>
      <c r="B133" s="32">
        <v>46242.548611111102</v>
      </c>
      <c r="C133" s="17" t="s">
        <v>69</v>
      </c>
      <c r="D133" s="17" t="s">
        <v>193</v>
      </c>
      <c r="E133" s="17" t="s">
        <v>123</v>
      </c>
      <c r="F133" s="17" t="s">
        <v>80</v>
      </c>
      <c r="G133" s="17" t="s">
        <v>18</v>
      </c>
      <c r="H133" s="33">
        <v>10500</v>
      </c>
      <c r="I133" s="32">
        <v>46242.748611111099</v>
      </c>
      <c r="J133" s="34">
        <v>46257</v>
      </c>
      <c r="K133" s="34"/>
      <c r="L133" s="34">
        <v>46257</v>
      </c>
      <c r="M133" s="17" t="s">
        <v>76</v>
      </c>
      <c r="N133" s="17">
        <f t="shared" si="8"/>
        <v>4.8</v>
      </c>
      <c r="O133" s="17" t="str">
        <f t="shared" si="9"/>
        <v>Closed</v>
      </c>
      <c r="P133" s="35">
        <f>IF($A133="","",IF($L133&lt;&gt;"",$L133,Settings!$C$3)-INT($B133))</f>
        <v>15</v>
      </c>
      <c r="Q133" s="17" t="str">
        <f>IF($O133&lt;&gt;"Open","",Settings!$C$3-IF($J133&lt;&gt;"",$J133,INT($B133)))</f>
        <v/>
      </c>
      <c r="R133" s="17" t="str">
        <f>IF($A133="","",IF($O133="Closed","Closed",IF($F133="Unassigned","Unassigned",IF(AND($K133&lt;&gt;"",$K133&lt;Settings!$C$3),"Overdue",IF($Q133&gt;=Settings!$C$4,"Inactive","On Track")))))</f>
        <v>Closed</v>
      </c>
      <c r="S133" s="17" t="str">
        <f t="shared" si="10"/>
        <v/>
      </c>
      <c r="T133" s="36">
        <f t="shared" si="11"/>
        <v>46235</v>
      </c>
      <c r="U133" s="33">
        <f>IF(AND($O133="Open",OR(Dashboard!$D$3="All",$F133=Dashboard!$D$3)),$H133+ROW()/100000,0)</f>
        <v>0</v>
      </c>
    </row>
    <row r="134" spans="1:21" x14ac:dyDescent="0.25">
      <c r="A134" s="17" t="s">
        <v>351</v>
      </c>
      <c r="B134" s="32">
        <v>46243.430555555598</v>
      </c>
      <c r="C134" s="17" t="s">
        <v>67</v>
      </c>
      <c r="D134" s="17" t="s">
        <v>146</v>
      </c>
      <c r="E134" s="17" t="s">
        <v>110</v>
      </c>
      <c r="F134" s="17" t="s">
        <v>83</v>
      </c>
      <c r="G134" s="17" t="s">
        <v>46</v>
      </c>
      <c r="H134" s="33">
        <v>20600</v>
      </c>
      <c r="I134" s="32">
        <v>46243.5222222222</v>
      </c>
      <c r="J134" s="34">
        <v>46309</v>
      </c>
      <c r="K134" s="34">
        <v>46311</v>
      </c>
      <c r="L134" s="34"/>
      <c r="M134" s="17"/>
      <c r="N134" s="17">
        <f t="shared" si="8"/>
        <v>2.2000000000000002</v>
      </c>
      <c r="O134" s="17" t="str">
        <f t="shared" si="9"/>
        <v>Open</v>
      </c>
      <c r="P134" s="35">
        <f>IF($A134="","",IF($L134&lt;&gt;"",$L134,Settings!$C$3)-INT($B134))</f>
        <v>71</v>
      </c>
      <c r="Q134" s="17">
        <f>IF($O134&lt;&gt;"Open","",Settings!$C$3-IF($J134&lt;&gt;"",$J134,INT($B134)))</f>
        <v>5</v>
      </c>
      <c r="R134" s="17" t="str">
        <f>IF($A134="","",IF($O134="Closed","Closed",IF($F134="Unassigned","Unassigned",IF(AND($K134&lt;&gt;"",$K134&lt;Settings!$C$3),"Overdue",IF($Q134&gt;=Settings!$C$4,"Inactive","On Track")))))</f>
        <v>Overdue</v>
      </c>
      <c r="S134" s="17" t="str">
        <f t="shared" si="10"/>
        <v>60+ days</v>
      </c>
      <c r="T134" s="36">
        <f t="shared" si="11"/>
        <v>46235</v>
      </c>
      <c r="U134" s="33">
        <f>IF(AND($O134="Open",OR(Dashboard!$D$3="All",$F134=Dashboard!$D$3)),$H134+ROW()/100000,0)</f>
        <v>20600.001339999999</v>
      </c>
    </row>
    <row r="135" spans="1:21" x14ac:dyDescent="0.25">
      <c r="A135" s="17" t="s">
        <v>352</v>
      </c>
      <c r="B135" s="32">
        <v>46243.694444444503</v>
      </c>
      <c r="C135" s="17" t="s">
        <v>63</v>
      </c>
      <c r="D135" s="17" t="s">
        <v>153</v>
      </c>
      <c r="E135" s="17" t="s">
        <v>110</v>
      </c>
      <c r="F135" s="17" t="s">
        <v>83</v>
      </c>
      <c r="G135" s="17" t="s">
        <v>18</v>
      </c>
      <c r="H135" s="33">
        <v>30400</v>
      </c>
      <c r="I135" s="32">
        <v>46243.806944444397</v>
      </c>
      <c r="J135" s="34">
        <v>46266</v>
      </c>
      <c r="K135" s="34"/>
      <c r="L135" s="34">
        <v>46266</v>
      </c>
      <c r="M135" s="17" t="s">
        <v>73</v>
      </c>
      <c r="N135" s="17">
        <f t="shared" si="8"/>
        <v>2.7</v>
      </c>
      <c r="O135" s="17" t="str">
        <f t="shared" si="9"/>
        <v>Closed</v>
      </c>
      <c r="P135" s="35">
        <f>IF($A135="","",IF($L135&lt;&gt;"",$L135,Settings!$C$3)-INT($B135))</f>
        <v>23</v>
      </c>
      <c r="Q135" s="17" t="str">
        <f>IF($O135&lt;&gt;"Open","",Settings!$C$3-IF($J135&lt;&gt;"",$J135,INT($B135)))</f>
        <v/>
      </c>
      <c r="R135" s="17" t="str">
        <f>IF($A135="","",IF($O135="Closed","Closed",IF($F135="Unassigned","Unassigned",IF(AND($K135&lt;&gt;"",$K135&lt;Settings!$C$3),"Overdue",IF($Q135&gt;=Settings!$C$4,"Inactive","On Track")))))</f>
        <v>Closed</v>
      </c>
      <c r="S135" s="17" t="str">
        <f t="shared" si="10"/>
        <v/>
      </c>
      <c r="T135" s="36">
        <f t="shared" si="11"/>
        <v>46235</v>
      </c>
      <c r="U135" s="33">
        <f>IF(AND($O135="Open",OR(Dashboard!$D$3="All",$F135=Dashboard!$D$3)),$H135+ROW()/100000,0)</f>
        <v>0</v>
      </c>
    </row>
    <row r="136" spans="1:21" x14ac:dyDescent="0.25">
      <c r="A136" s="17" t="s">
        <v>353</v>
      </c>
      <c r="B136" s="32">
        <v>46243.736111111102</v>
      </c>
      <c r="C136" s="17" t="s">
        <v>62</v>
      </c>
      <c r="D136" s="17" t="s">
        <v>253</v>
      </c>
      <c r="E136" s="17" t="s">
        <v>116</v>
      </c>
      <c r="F136" s="17" t="s">
        <v>83</v>
      </c>
      <c r="G136" s="17" t="s">
        <v>18</v>
      </c>
      <c r="H136" s="33">
        <v>77800</v>
      </c>
      <c r="I136" s="32">
        <v>46244.131944444503</v>
      </c>
      <c r="J136" s="34">
        <v>46272</v>
      </c>
      <c r="K136" s="34"/>
      <c r="L136" s="34">
        <v>46272</v>
      </c>
      <c r="M136" s="17" t="s">
        <v>75</v>
      </c>
      <c r="N136" s="17">
        <f t="shared" si="8"/>
        <v>9.5</v>
      </c>
      <c r="O136" s="17" t="str">
        <f t="shared" si="9"/>
        <v>Closed</v>
      </c>
      <c r="P136" s="35">
        <f>IF($A136="","",IF($L136&lt;&gt;"",$L136,Settings!$C$3)-INT($B136))</f>
        <v>29</v>
      </c>
      <c r="Q136" s="17" t="str">
        <f>IF($O136&lt;&gt;"Open","",Settings!$C$3-IF($J136&lt;&gt;"",$J136,INT($B136)))</f>
        <v/>
      </c>
      <c r="R136" s="17" t="str">
        <f>IF($A136="","",IF($O136="Closed","Closed",IF($F136="Unassigned","Unassigned",IF(AND($K136&lt;&gt;"",$K136&lt;Settings!$C$3),"Overdue",IF($Q136&gt;=Settings!$C$4,"Inactive","On Track")))))</f>
        <v>Closed</v>
      </c>
      <c r="S136" s="17" t="str">
        <f t="shared" si="10"/>
        <v/>
      </c>
      <c r="T136" s="36">
        <f t="shared" si="11"/>
        <v>46235</v>
      </c>
      <c r="U136" s="33">
        <f>IF(AND($O136="Open",OR(Dashboard!$D$3="All",$F136=Dashboard!$D$3)),$H136+ROW()/100000,0)</f>
        <v>0</v>
      </c>
    </row>
    <row r="137" spans="1:21" x14ac:dyDescent="0.25">
      <c r="A137" s="17" t="s">
        <v>354</v>
      </c>
      <c r="B137" s="32">
        <v>46244.666666666701</v>
      </c>
      <c r="C137" s="17" t="s">
        <v>63</v>
      </c>
      <c r="D137" s="17" t="s">
        <v>309</v>
      </c>
      <c r="E137" s="17" t="s">
        <v>110</v>
      </c>
      <c r="F137" s="17" t="s">
        <v>84</v>
      </c>
      <c r="G137" s="17" t="s">
        <v>46</v>
      </c>
      <c r="H137" s="33">
        <v>7400</v>
      </c>
      <c r="I137" s="32">
        <v>46245.175000000003</v>
      </c>
      <c r="J137" s="34">
        <v>46306</v>
      </c>
      <c r="K137" s="34">
        <v>46315</v>
      </c>
      <c r="L137" s="34"/>
      <c r="M137" s="17"/>
      <c r="N137" s="17">
        <f t="shared" si="8"/>
        <v>12.2</v>
      </c>
      <c r="O137" s="17" t="str">
        <f t="shared" si="9"/>
        <v>Open</v>
      </c>
      <c r="P137" s="35">
        <f>IF($A137="","",IF($L137&lt;&gt;"",$L137,Settings!$C$3)-INT($B137))</f>
        <v>70</v>
      </c>
      <c r="Q137" s="17">
        <f>IF($O137&lt;&gt;"Open","",Settings!$C$3-IF($J137&lt;&gt;"",$J137,INT($B137)))</f>
        <v>8</v>
      </c>
      <c r="R137" s="17" t="str">
        <f>IF($A137="","",IF($O137="Closed","Closed",IF($F137="Unassigned","Unassigned",IF(AND($K137&lt;&gt;"",$K137&lt;Settings!$C$3),"Overdue",IF($Q137&gt;=Settings!$C$4,"Inactive","On Track")))))</f>
        <v>Inactive</v>
      </c>
      <c r="S137" s="17" t="str">
        <f t="shared" si="10"/>
        <v>60+ days</v>
      </c>
      <c r="T137" s="36">
        <f t="shared" si="11"/>
        <v>46235</v>
      </c>
      <c r="U137" s="33">
        <f>IF(AND($O137="Open",OR(Dashboard!$D$3="All",$F137=Dashboard!$D$3)),$H137+ROW()/100000,0)</f>
        <v>7400.00137</v>
      </c>
    </row>
    <row r="138" spans="1:21" x14ac:dyDescent="0.25">
      <c r="A138" s="17" t="s">
        <v>355</v>
      </c>
      <c r="B138" s="32">
        <v>46244.6875</v>
      </c>
      <c r="C138" s="17" t="s">
        <v>66</v>
      </c>
      <c r="D138" s="17" t="s">
        <v>133</v>
      </c>
      <c r="E138" s="17" t="s">
        <v>110</v>
      </c>
      <c r="F138" s="17" t="s">
        <v>85</v>
      </c>
      <c r="G138" s="17" t="s">
        <v>18</v>
      </c>
      <c r="H138" s="33">
        <v>13500</v>
      </c>
      <c r="I138" s="32">
        <v>46244.795833333301</v>
      </c>
      <c r="J138" s="34">
        <v>46265</v>
      </c>
      <c r="K138" s="34"/>
      <c r="L138" s="34">
        <v>46265</v>
      </c>
      <c r="M138" s="17" t="s">
        <v>73</v>
      </c>
      <c r="N138" s="17">
        <f t="shared" si="8"/>
        <v>2.6</v>
      </c>
      <c r="O138" s="17" t="str">
        <f t="shared" si="9"/>
        <v>Closed</v>
      </c>
      <c r="P138" s="35">
        <f>IF($A138="","",IF($L138&lt;&gt;"",$L138,Settings!$C$3)-INT($B138))</f>
        <v>21</v>
      </c>
      <c r="Q138" s="17" t="str">
        <f>IF($O138&lt;&gt;"Open","",Settings!$C$3-IF($J138&lt;&gt;"",$J138,INT($B138)))</f>
        <v/>
      </c>
      <c r="R138" s="17" t="str">
        <f>IF($A138="","",IF($O138="Closed","Closed",IF($F138="Unassigned","Unassigned",IF(AND($K138&lt;&gt;"",$K138&lt;Settings!$C$3),"Overdue",IF($Q138&gt;=Settings!$C$4,"Inactive","On Track")))))</f>
        <v>Closed</v>
      </c>
      <c r="S138" s="17" t="str">
        <f t="shared" si="10"/>
        <v/>
      </c>
      <c r="T138" s="36">
        <f t="shared" si="11"/>
        <v>46235</v>
      </c>
      <c r="U138" s="33">
        <f>IF(AND($O138="Open",OR(Dashboard!$D$3="All",$F138=Dashboard!$D$3)),$H138+ROW()/100000,0)</f>
        <v>0</v>
      </c>
    </row>
    <row r="139" spans="1:21" x14ac:dyDescent="0.25">
      <c r="A139" s="17" t="s">
        <v>356</v>
      </c>
      <c r="B139" s="32">
        <v>46244.743055555598</v>
      </c>
      <c r="C139" s="17" t="s">
        <v>66</v>
      </c>
      <c r="D139" s="17" t="s">
        <v>259</v>
      </c>
      <c r="E139" s="17" t="s">
        <v>123</v>
      </c>
      <c r="F139" s="17" t="s">
        <v>84</v>
      </c>
      <c r="G139" s="17" t="s">
        <v>47</v>
      </c>
      <c r="H139" s="33">
        <v>7700</v>
      </c>
      <c r="I139" s="32">
        <v>46244.863888888904</v>
      </c>
      <c r="J139" s="34">
        <v>46296</v>
      </c>
      <c r="K139" s="34">
        <v>46300</v>
      </c>
      <c r="L139" s="34"/>
      <c r="M139" s="17"/>
      <c r="N139" s="17">
        <f t="shared" si="8"/>
        <v>2.9</v>
      </c>
      <c r="O139" s="17" t="str">
        <f t="shared" si="9"/>
        <v>Open</v>
      </c>
      <c r="P139" s="35">
        <f>IF($A139="","",IF($L139&lt;&gt;"",$L139,Settings!$C$3)-INT($B139))</f>
        <v>70</v>
      </c>
      <c r="Q139" s="17">
        <f>IF($O139&lt;&gt;"Open","",Settings!$C$3-IF($J139&lt;&gt;"",$J139,INT($B139)))</f>
        <v>18</v>
      </c>
      <c r="R139" s="17" t="str">
        <f>IF($A139="","",IF($O139="Closed","Closed",IF($F139="Unassigned","Unassigned",IF(AND($K139&lt;&gt;"",$K139&lt;Settings!$C$3),"Overdue",IF($Q139&gt;=Settings!$C$4,"Inactive","On Track")))))</f>
        <v>Overdue</v>
      </c>
      <c r="S139" s="17" t="str">
        <f t="shared" si="10"/>
        <v>60+ days</v>
      </c>
      <c r="T139" s="36">
        <f t="shared" si="11"/>
        <v>46235</v>
      </c>
      <c r="U139" s="33">
        <f>IF(AND($O139="Open",OR(Dashboard!$D$3="All",$F139=Dashboard!$D$3)),$H139+ROW()/100000,0)</f>
        <v>7700.0013900000004</v>
      </c>
    </row>
    <row r="140" spans="1:21" x14ac:dyDescent="0.25">
      <c r="A140" s="17" t="s">
        <v>357</v>
      </c>
      <c r="B140" s="32">
        <v>46245.631944444503</v>
      </c>
      <c r="C140" s="17" t="s">
        <v>63</v>
      </c>
      <c r="D140" s="17" t="s">
        <v>273</v>
      </c>
      <c r="E140" s="17" t="s">
        <v>138</v>
      </c>
      <c r="F140" s="17" t="s">
        <v>84</v>
      </c>
      <c r="G140" s="17" t="s">
        <v>17</v>
      </c>
      <c r="H140" s="33">
        <v>49600</v>
      </c>
      <c r="I140" s="32">
        <v>46246.273611111101</v>
      </c>
      <c r="J140" s="34">
        <v>46270</v>
      </c>
      <c r="K140" s="34"/>
      <c r="L140" s="34">
        <v>46270</v>
      </c>
      <c r="M140" s="17"/>
      <c r="N140" s="17">
        <f t="shared" si="8"/>
        <v>15.4</v>
      </c>
      <c r="O140" s="17" t="str">
        <f t="shared" si="9"/>
        <v>Closed</v>
      </c>
      <c r="P140" s="35">
        <f>IF($A140="","",IF($L140&lt;&gt;"",$L140,Settings!$C$3)-INT($B140))</f>
        <v>25</v>
      </c>
      <c r="Q140" s="17" t="str">
        <f>IF($O140&lt;&gt;"Open","",Settings!$C$3-IF($J140&lt;&gt;"",$J140,INT($B140)))</f>
        <v/>
      </c>
      <c r="R140" s="17" t="str">
        <f>IF($A140="","",IF($O140="Closed","Closed",IF($F140="Unassigned","Unassigned",IF(AND($K140&lt;&gt;"",$K140&lt;Settings!$C$3),"Overdue",IF($Q140&gt;=Settings!$C$4,"Inactive","On Track")))))</f>
        <v>Closed</v>
      </c>
      <c r="S140" s="17" t="str">
        <f t="shared" si="10"/>
        <v/>
      </c>
      <c r="T140" s="36">
        <f t="shared" si="11"/>
        <v>46235</v>
      </c>
      <c r="U140" s="33">
        <f>IF(AND($O140="Open",OR(Dashboard!$D$3="All",$F140=Dashboard!$D$3)),$H140+ROW()/100000,0)</f>
        <v>0</v>
      </c>
    </row>
    <row r="141" spans="1:21" x14ac:dyDescent="0.25">
      <c r="A141" s="17" t="s">
        <v>358</v>
      </c>
      <c r="B141" s="32">
        <v>46246.381944444503</v>
      </c>
      <c r="C141" s="17" t="s">
        <v>64</v>
      </c>
      <c r="D141" s="17" t="s">
        <v>291</v>
      </c>
      <c r="E141" s="17" t="s">
        <v>110</v>
      </c>
      <c r="F141" s="17" t="s">
        <v>82</v>
      </c>
      <c r="G141" s="17" t="s">
        <v>47</v>
      </c>
      <c r="H141" s="33">
        <v>28100</v>
      </c>
      <c r="I141" s="32">
        <v>46247.065277777801</v>
      </c>
      <c r="J141" s="34">
        <v>46302</v>
      </c>
      <c r="K141" s="34">
        <v>46304</v>
      </c>
      <c r="L141" s="34"/>
      <c r="M141" s="17"/>
      <c r="N141" s="17">
        <f t="shared" si="8"/>
        <v>16.399999999999999</v>
      </c>
      <c r="O141" s="17" t="str">
        <f t="shared" si="9"/>
        <v>Open</v>
      </c>
      <c r="P141" s="35">
        <f>IF($A141="","",IF($L141&lt;&gt;"",$L141,Settings!$C$3)-INT($B141))</f>
        <v>68</v>
      </c>
      <c r="Q141" s="17">
        <f>IF($O141&lt;&gt;"Open","",Settings!$C$3-IF($J141&lt;&gt;"",$J141,INT($B141)))</f>
        <v>12</v>
      </c>
      <c r="R141" s="17" t="str">
        <f>IF($A141="","",IF($O141="Closed","Closed",IF($F141="Unassigned","Unassigned",IF(AND($K141&lt;&gt;"",$K141&lt;Settings!$C$3),"Overdue",IF($Q141&gt;=Settings!$C$4,"Inactive","On Track")))))</f>
        <v>Overdue</v>
      </c>
      <c r="S141" s="17" t="str">
        <f t="shared" si="10"/>
        <v>60+ days</v>
      </c>
      <c r="T141" s="36">
        <f t="shared" si="11"/>
        <v>46235</v>
      </c>
      <c r="U141" s="33">
        <f>IF(AND($O141="Open",OR(Dashboard!$D$3="All",$F141=Dashboard!$D$3)),$H141+ROW()/100000,0)</f>
        <v>28100.001410000001</v>
      </c>
    </row>
    <row r="142" spans="1:21" x14ac:dyDescent="0.25">
      <c r="A142" s="17" t="s">
        <v>359</v>
      </c>
      <c r="B142" s="32">
        <v>46246.604166666701</v>
      </c>
      <c r="C142" s="17" t="s">
        <v>62</v>
      </c>
      <c r="D142" s="17" t="s">
        <v>261</v>
      </c>
      <c r="E142" s="17" t="s">
        <v>110</v>
      </c>
      <c r="F142" s="17" t="s">
        <v>82</v>
      </c>
      <c r="G142" s="17" t="s">
        <v>46</v>
      </c>
      <c r="H142" s="33">
        <v>62400</v>
      </c>
      <c r="I142" s="32">
        <v>46246.920833333301</v>
      </c>
      <c r="J142" s="34">
        <v>46313</v>
      </c>
      <c r="K142" s="34">
        <v>46322</v>
      </c>
      <c r="L142" s="34"/>
      <c r="M142" s="17"/>
      <c r="N142" s="17">
        <f t="shared" si="8"/>
        <v>7.6</v>
      </c>
      <c r="O142" s="17" t="str">
        <f t="shared" si="9"/>
        <v>Open</v>
      </c>
      <c r="P142" s="35">
        <f>IF($A142="","",IF($L142&lt;&gt;"",$L142,Settings!$C$3)-INT($B142))</f>
        <v>68</v>
      </c>
      <c r="Q142" s="17">
        <f>IF($O142&lt;&gt;"Open","",Settings!$C$3-IF($J142&lt;&gt;"",$J142,INT($B142)))</f>
        <v>1</v>
      </c>
      <c r="R142" s="17" t="str">
        <f>IF($A142="","",IF($O142="Closed","Closed",IF($F142="Unassigned","Unassigned",IF(AND($K142&lt;&gt;"",$K142&lt;Settings!$C$3),"Overdue",IF($Q142&gt;=Settings!$C$4,"Inactive","On Track")))))</f>
        <v>On Track</v>
      </c>
      <c r="S142" s="17" t="str">
        <f t="shared" si="10"/>
        <v>60+ days</v>
      </c>
      <c r="T142" s="36">
        <f t="shared" si="11"/>
        <v>46235</v>
      </c>
      <c r="U142" s="33">
        <f>IF(AND($O142="Open",OR(Dashboard!$D$3="All",$F142=Dashboard!$D$3)),$H142+ROW()/100000,0)</f>
        <v>62400.001420000001</v>
      </c>
    </row>
    <row r="143" spans="1:21" x14ac:dyDescent="0.25">
      <c r="A143" s="17" t="s">
        <v>360</v>
      </c>
      <c r="B143" s="32">
        <v>46247.409722222197</v>
      </c>
      <c r="C143" s="17" t="s">
        <v>67</v>
      </c>
      <c r="D143" s="17" t="s">
        <v>153</v>
      </c>
      <c r="E143" s="17" t="s">
        <v>110</v>
      </c>
      <c r="F143" s="17" t="s">
        <v>80</v>
      </c>
      <c r="G143" s="17" t="s">
        <v>47</v>
      </c>
      <c r="H143" s="33">
        <v>15400</v>
      </c>
      <c r="I143" s="32">
        <v>46247.526388888902</v>
      </c>
      <c r="J143" s="34">
        <v>46313</v>
      </c>
      <c r="K143" s="34">
        <v>46315</v>
      </c>
      <c r="L143" s="34"/>
      <c r="M143" s="17"/>
      <c r="N143" s="17">
        <f t="shared" si="8"/>
        <v>2.8</v>
      </c>
      <c r="O143" s="17" t="str">
        <f t="shared" si="9"/>
        <v>Open</v>
      </c>
      <c r="P143" s="35">
        <f>IF($A143="","",IF($L143&lt;&gt;"",$L143,Settings!$C$3)-INT($B143))</f>
        <v>67</v>
      </c>
      <c r="Q143" s="17">
        <f>IF($O143&lt;&gt;"Open","",Settings!$C$3-IF($J143&lt;&gt;"",$J143,INT($B143)))</f>
        <v>1</v>
      </c>
      <c r="R143" s="17" t="str">
        <f>IF($A143="","",IF($O143="Closed","Closed",IF($F143="Unassigned","Unassigned",IF(AND($K143&lt;&gt;"",$K143&lt;Settings!$C$3),"Overdue",IF($Q143&gt;=Settings!$C$4,"Inactive","On Track")))))</f>
        <v>On Track</v>
      </c>
      <c r="S143" s="17" t="str">
        <f t="shared" si="10"/>
        <v>60+ days</v>
      </c>
      <c r="T143" s="36">
        <f t="shared" si="11"/>
        <v>46235</v>
      </c>
      <c r="U143" s="33">
        <f>IF(AND($O143="Open",OR(Dashboard!$D$3="All",$F143=Dashboard!$D$3)),$H143+ROW()/100000,0)</f>
        <v>15400.00143</v>
      </c>
    </row>
    <row r="144" spans="1:21" x14ac:dyDescent="0.25">
      <c r="A144" s="17" t="s">
        <v>361</v>
      </c>
      <c r="B144" s="32">
        <v>46247.493055555598</v>
      </c>
      <c r="C144" s="17" t="s">
        <v>63</v>
      </c>
      <c r="D144" s="17" t="s">
        <v>243</v>
      </c>
      <c r="E144" s="17" t="s">
        <v>138</v>
      </c>
      <c r="F144" s="17" t="s">
        <v>80</v>
      </c>
      <c r="G144" s="17" t="s">
        <v>18</v>
      </c>
      <c r="H144" s="33">
        <v>44200</v>
      </c>
      <c r="I144" s="32">
        <v>46247.826388888898</v>
      </c>
      <c r="J144" s="34">
        <v>46255</v>
      </c>
      <c r="K144" s="34"/>
      <c r="L144" s="34">
        <v>46255</v>
      </c>
      <c r="M144" s="17" t="s">
        <v>74</v>
      </c>
      <c r="N144" s="17">
        <f t="shared" si="8"/>
        <v>8</v>
      </c>
      <c r="O144" s="17" t="str">
        <f t="shared" si="9"/>
        <v>Closed</v>
      </c>
      <c r="P144" s="35">
        <f>IF($A144="","",IF($L144&lt;&gt;"",$L144,Settings!$C$3)-INT($B144))</f>
        <v>8</v>
      </c>
      <c r="Q144" s="17" t="str">
        <f>IF($O144&lt;&gt;"Open","",Settings!$C$3-IF($J144&lt;&gt;"",$J144,INT($B144)))</f>
        <v/>
      </c>
      <c r="R144" s="17" t="str">
        <f>IF($A144="","",IF($O144="Closed","Closed",IF($F144="Unassigned","Unassigned",IF(AND($K144&lt;&gt;"",$K144&lt;Settings!$C$3),"Overdue",IF($Q144&gt;=Settings!$C$4,"Inactive","On Track")))))</f>
        <v>Closed</v>
      </c>
      <c r="S144" s="17" t="str">
        <f t="shared" si="10"/>
        <v/>
      </c>
      <c r="T144" s="36">
        <f t="shared" si="11"/>
        <v>46235</v>
      </c>
      <c r="U144" s="33">
        <f>IF(AND($O144="Open",OR(Dashboard!$D$3="All",$F144=Dashboard!$D$3)),$H144+ROW()/100000,0)</f>
        <v>0</v>
      </c>
    </row>
    <row r="145" spans="1:21" x14ac:dyDescent="0.25">
      <c r="A145" s="17" t="s">
        <v>362</v>
      </c>
      <c r="B145" s="32">
        <v>46247.534722222197</v>
      </c>
      <c r="C145" s="17" t="s">
        <v>69</v>
      </c>
      <c r="D145" s="17" t="s">
        <v>115</v>
      </c>
      <c r="E145" s="17" t="s">
        <v>113</v>
      </c>
      <c r="F145" s="17" t="s">
        <v>83</v>
      </c>
      <c r="G145" s="17" t="s">
        <v>17</v>
      </c>
      <c r="H145" s="33">
        <v>61300</v>
      </c>
      <c r="I145" s="32">
        <v>46247.622222222199</v>
      </c>
      <c r="J145" s="34">
        <v>46285</v>
      </c>
      <c r="K145" s="34"/>
      <c r="L145" s="34">
        <v>46285</v>
      </c>
      <c r="M145" s="17"/>
      <c r="N145" s="17">
        <f t="shared" si="8"/>
        <v>2.1</v>
      </c>
      <c r="O145" s="17" t="str">
        <f t="shared" si="9"/>
        <v>Closed</v>
      </c>
      <c r="P145" s="35">
        <f>IF($A145="","",IF($L145&lt;&gt;"",$L145,Settings!$C$3)-INT($B145))</f>
        <v>38</v>
      </c>
      <c r="Q145" s="17" t="str">
        <f>IF($O145&lt;&gt;"Open","",Settings!$C$3-IF($J145&lt;&gt;"",$J145,INT($B145)))</f>
        <v/>
      </c>
      <c r="R145" s="17" t="str">
        <f>IF($A145="","",IF($O145="Closed","Closed",IF($F145="Unassigned","Unassigned",IF(AND($K145&lt;&gt;"",$K145&lt;Settings!$C$3),"Overdue",IF($Q145&gt;=Settings!$C$4,"Inactive","On Track")))))</f>
        <v>Closed</v>
      </c>
      <c r="S145" s="17" t="str">
        <f t="shared" si="10"/>
        <v/>
      </c>
      <c r="T145" s="36">
        <f t="shared" si="11"/>
        <v>46235</v>
      </c>
      <c r="U145" s="33">
        <f>IF(AND($O145="Open",OR(Dashboard!$D$3="All",$F145=Dashboard!$D$3)),$H145+ROW()/100000,0)</f>
        <v>0</v>
      </c>
    </row>
    <row r="146" spans="1:21" x14ac:dyDescent="0.25">
      <c r="A146" s="17" t="s">
        <v>363</v>
      </c>
      <c r="B146" s="32">
        <v>46247.541666666701</v>
      </c>
      <c r="C146" s="17" t="s">
        <v>66</v>
      </c>
      <c r="D146" s="17" t="s">
        <v>173</v>
      </c>
      <c r="E146" s="17" t="s">
        <v>113</v>
      </c>
      <c r="F146" s="17" t="s">
        <v>85</v>
      </c>
      <c r="G146" s="17" t="s">
        <v>18</v>
      </c>
      <c r="H146" s="33">
        <v>26300</v>
      </c>
      <c r="I146" s="32">
        <v>46247.591666666704</v>
      </c>
      <c r="J146" s="34">
        <v>46281</v>
      </c>
      <c r="K146" s="34"/>
      <c r="L146" s="34">
        <v>46281</v>
      </c>
      <c r="M146" s="17" t="s">
        <v>73</v>
      </c>
      <c r="N146" s="17">
        <f t="shared" si="8"/>
        <v>1.2</v>
      </c>
      <c r="O146" s="17" t="str">
        <f t="shared" si="9"/>
        <v>Closed</v>
      </c>
      <c r="P146" s="35">
        <f>IF($A146="","",IF($L146&lt;&gt;"",$L146,Settings!$C$3)-INT($B146))</f>
        <v>34</v>
      </c>
      <c r="Q146" s="17" t="str">
        <f>IF($O146&lt;&gt;"Open","",Settings!$C$3-IF($J146&lt;&gt;"",$J146,INT($B146)))</f>
        <v/>
      </c>
      <c r="R146" s="17" t="str">
        <f>IF($A146="","",IF($O146="Closed","Closed",IF($F146="Unassigned","Unassigned",IF(AND($K146&lt;&gt;"",$K146&lt;Settings!$C$3),"Overdue",IF($Q146&gt;=Settings!$C$4,"Inactive","On Track")))))</f>
        <v>Closed</v>
      </c>
      <c r="S146" s="17" t="str">
        <f t="shared" si="10"/>
        <v/>
      </c>
      <c r="T146" s="36">
        <f t="shared" si="11"/>
        <v>46235</v>
      </c>
      <c r="U146" s="33">
        <f>IF(AND($O146="Open",OR(Dashboard!$D$3="All",$F146=Dashboard!$D$3)),$H146+ROW()/100000,0)</f>
        <v>0</v>
      </c>
    </row>
    <row r="147" spans="1:21" x14ac:dyDescent="0.25">
      <c r="A147" s="17" t="s">
        <v>364</v>
      </c>
      <c r="B147" s="32">
        <v>46247.611111111102</v>
      </c>
      <c r="C147" s="17" t="s">
        <v>63</v>
      </c>
      <c r="D147" s="17" t="s">
        <v>213</v>
      </c>
      <c r="E147" s="17" t="s">
        <v>138</v>
      </c>
      <c r="F147" s="17" t="s">
        <v>80</v>
      </c>
      <c r="G147" s="17" t="s">
        <v>18</v>
      </c>
      <c r="H147" s="33">
        <v>54900</v>
      </c>
      <c r="I147" s="32">
        <v>46248.152777777803</v>
      </c>
      <c r="J147" s="34">
        <v>46281</v>
      </c>
      <c r="K147" s="34"/>
      <c r="L147" s="34">
        <v>46281</v>
      </c>
      <c r="M147" s="17" t="s">
        <v>73</v>
      </c>
      <c r="N147" s="17">
        <f t="shared" si="8"/>
        <v>13</v>
      </c>
      <c r="O147" s="17" t="str">
        <f t="shared" si="9"/>
        <v>Closed</v>
      </c>
      <c r="P147" s="35">
        <f>IF($A147="","",IF($L147&lt;&gt;"",$L147,Settings!$C$3)-INT($B147))</f>
        <v>34</v>
      </c>
      <c r="Q147" s="17" t="str">
        <f>IF($O147&lt;&gt;"Open","",Settings!$C$3-IF($J147&lt;&gt;"",$J147,INT($B147)))</f>
        <v/>
      </c>
      <c r="R147" s="17" t="str">
        <f>IF($A147="","",IF($O147="Closed","Closed",IF($F147="Unassigned","Unassigned",IF(AND($K147&lt;&gt;"",$K147&lt;Settings!$C$3),"Overdue",IF($Q147&gt;=Settings!$C$4,"Inactive","On Track")))))</f>
        <v>Closed</v>
      </c>
      <c r="S147" s="17" t="str">
        <f t="shared" si="10"/>
        <v/>
      </c>
      <c r="T147" s="36">
        <f t="shared" si="11"/>
        <v>46235</v>
      </c>
      <c r="U147" s="33">
        <f>IF(AND($O147="Open",OR(Dashboard!$D$3="All",$F147=Dashboard!$D$3)),$H147+ROW()/100000,0)</f>
        <v>0</v>
      </c>
    </row>
    <row r="148" spans="1:21" x14ac:dyDescent="0.25">
      <c r="A148" s="17" t="s">
        <v>365</v>
      </c>
      <c r="B148" s="32">
        <v>46247.625</v>
      </c>
      <c r="C148" s="17" t="s">
        <v>62</v>
      </c>
      <c r="D148" s="17" t="s">
        <v>219</v>
      </c>
      <c r="E148" s="17" t="s">
        <v>116</v>
      </c>
      <c r="F148" s="17" t="s">
        <v>83</v>
      </c>
      <c r="G148" s="17" t="s">
        <v>47</v>
      </c>
      <c r="H148" s="33">
        <v>19600</v>
      </c>
      <c r="I148" s="32">
        <v>46247.929166666698</v>
      </c>
      <c r="J148" s="34">
        <v>46296</v>
      </c>
      <c r="K148" s="34">
        <v>46302</v>
      </c>
      <c r="L148" s="34"/>
      <c r="M148" s="17"/>
      <c r="N148" s="17">
        <f t="shared" si="8"/>
        <v>7.3</v>
      </c>
      <c r="O148" s="17" t="str">
        <f t="shared" si="9"/>
        <v>Open</v>
      </c>
      <c r="P148" s="35">
        <f>IF($A148="","",IF($L148&lt;&gt;"",$L148,Settings!$C$3)-INT($B148))</f>
        <v>67</v>
      </c>
      <c r="Q148" s="17">
        <f>IF($O148&lt;&gt;"Open","",Settings!$C$3-IF($J148&lt;&gt;"",$J148,INT($B148)))</f>
        <v>18</v>
      </c>
      <c r="R148" s="17" t="str">
        <f>IF($A148="","",IF($O148="Closed","Closed",IF($F148="Unassigned","Unassigned",IF(AND($K148&lt;&gt;"",$K148&lt;Settings!$C$3),"Overdue",IF($Q148&gt;=Settings!$C$4,"Inactive","On Track")))))</f>
        <v>Overdue</v>
      </c>
      <c r="S148" s="17" t="str">
        <f t="shared" si="10"/>
        <v>60+ days</v>
      </c>
      <c r="T148" s="36">
        <f t="shared" si="11"/>
        <v>46235</v>
      </c>
      <c r="U148" s="33">
        <f>IF(AND($O148="Open",OR(Dashboard!$D$3="All",$F148=Dashboard!$D$3)),$H148+ROW()/100000,0)</f>
        <v>19600.001479999999</v>
      </c>
    </row>
    <row r="149" spans="1:21" x14ac:dyDescent="0.25">
      <c r="A149" s="17" t="s">
        <v>366</v>
      </c>
      <c r="B149" s="32">
        <v>46249.368055555598</v>
      </c>
      <c r="C149" s="17" t="s">
        <v>62</v>
      </c>
      <c r="D149" s="17" t="s">
        <v>157</v>
      </c>
      <c r="E149" s="17" t="s">
        <v>110</v>
      </c>
      <c r="F149" s="17" t="s">
        <v>83</v>
      </c>
      <c r="G149" s="17" t="s">
        <v>17</v>
      </c>
      <c r="H149" s="33">
        <v>31900</v>
      </c>
      <c r="I149" s="32">
        <v>46249.476388888899</v>
      </c>
      <c r="J149" s="34">
        <v>46263</v>
      </c>
      <c r="K149" s="34"/>
      <c r="L149" s="34">
        <v>46263</v>
      </c>
      <c r="M149" s="17"/>
      <c r="N149" s="17">
        <f t="shared" si="8"/>
        <v>2.6</v>
      </c>
      <c r="O149" s="17" t="str">
        <f t="shared" si="9"/>
        <v>Closed</v>
      </c>
      <c r="P149" s="35">
        <f>IF($A149="","",IF($L149&lt;&gt;"",$L149,Settings!$C$3)-INT($B149))</f>
        <v>14</v>
      </c>
      <c r="Q149" s="17" t="str">
        <f>IF($O149&lt;&gt;"Open","",Settings!$C$3-IF($J149&lt;&gt;"",$J149,INT($B149)))</f>
        <v/>
      </c>
      <c r="R149" s="17" t="str">
        <f>IF($A149="","",IF($O149="Closed","Closed",IF($F149="Unassigned","Unassigned",IF(AND($K149&lt;&gt;"",$K149&lt;Settings!$C$3),"Overdue",IF($Q149&gt;=Settings!$C$4,"Inactive","On Track")))))</f>
        <v>Closed</v>
      </c>
      <c r="S149" s="17" t="str">
        <f t="shared" si="10"/>
        <v/>
      </c>
      <c r="T149" s="36">
        <f t="shared" si="11"/>
        <v>46235</v>
      </c>
      <c r="U149" s="33">
        <f>IF(AND($O149="Open",OR(Dashboard!$D$3="All",$F149=Dashboard!$D$3)),$H149+ROW()/100000,0)</f>
        <v>0</v>
      </c>
    </row>
    <row r="150" spans="1:21" x14ac:dyDescent="0.25">
      <c r="A150" s="17" t="s">
        <v>367</v>
      </c>
      <c r="B150" s="32">
        <v>46249.520833333299</v>
      </c>
      <c r="C150" s="17" t="s">
        <v>64</v>
      </c>
      <c r="D150" s="17" t="s">
        <v>149</v>
      </c>
      <c r="E150" s="17" t="s">
        <v>147</v>
      </c>
      <c r="F150" s="17" t="s">
        <v>84</v>
      </c>
      <c r="G150" s="17" t="s">
        <v>46</v>
      </c>
      <c r="H150" s="33">
        <v>25900</v>
      </c>
      <c r="I150" s="32">
        <v>46249.841666666704</v>
      </c>
      <c r="J150" s="34">
        <v>46306</v>
      </c>
      <c r="K150" s="34">
        <v>46309</v>
      </c>
      <c r="L150" s="34"/>
      <c r="M150" s="17"/>
      <c r="N150" s="17">
        <f t="shared" si="8"/>
        <v>7.7</v>
      </c>
      <c r="O150" s="17" t="str">
        <f t="shared" si="9"/>
        <v>Open</v>
      </c>
      <c r="P150" s="35">
        <f>IF($A150="","",IF($L150&lt;&gt;"",$L150,Settings!$C$3)-INT($B150))</f>
        <v>65</v>
      </c>
      <c r="Q150" s="17">
        <f>IF($O150&lt;&gt;"Open","",Settings!$C$3-IF($J150&lt;&gt;"",$J150,INT($B150)))</f>
        <v>8</v>
      </c>
      <c r="R150" s="17" t="str">
        <f>IF($A150="","",IF($O150="Closed","Closed",IF($F150="Unassigned","Unassigned",IF(AND($K150&lt;&gt;"",$K150&lt;Settings!$C$3),"Overdue",IF($Q150&gt;=Settings!$C$4,"Inactive","On Track")))))</f>
        <v>Overdue</v>
      </c>
      <c r="S150" s="17" t="str">
        <f t="shared" si="10"/>
        <v>60+ days</v>
      </c>
      <c r="T150" s="36">
        <f t="shared" si="11"/>
        <v>46235</v>
      </c>
      <c r="U150" s="33">
        <f>IF(AND($O150="Open",OR(Dashboard!$D$3="All",$F150=Dashboard!$D$3)),$H150+ROW()/100000,0)</f>
        <v>25900.001499999998</v>
      </c>
    </row>
    <row r="151" spans="1:21" x14ac:dyDescent="0.25">
      <c r="A151" s="17" t="s">
        <v>368</v>
      </c>
      <c r="B151" s="32">
        <v>46249.590277777803</v>
      </c>
      <c r="C151" s="17" t="s">
        <v>62</v>
      </c>
      <c r="D151" s="17" t="s">
        <v>255</v>
      </c>
      <c r="E151" s="17" t="s">
        <v>123</v>
      </c>
      <c r="F151" s="17" t="s">
        <v>83</v>
      </c>
      <c r="G151" s="17" t="s">
        <v>17</v>
      </c>
      <c r="H151" s="33">
        <v>149300</v>
      </c>
      <c r="I151" s="32">
        <v>46249.686111111099</v>
      </c>
      <c r="J151" s="34">
        <v>46276</v>
      </c>
      <c r="K151" s="34"/>
      <c r="L151" s="34">
        <v>46276</v>
      </c>
      <c r="M151" s="17"/>
      <c r="N151" s="17">
        <f t="shared" si="8"/>
        <v>2.2999999999999998</v>
      </c>
      <c r="O151" s="17" t="str">
        <f t="shared" si="9"/>
        <v>Closed</v>
      </c>
      <c r="P151" s="35">
        <f>IF($A151="","",IF($L151&lt;&gt;"",$L151,Settings!$C$3)-INT($B151))</f>
        <v>27</v>
      </c>
      <c r="Q151" s="17" t="str">
        <f>IF($O151&lt;&gt;"Open","",Settings!$C$3-IF($J151&lt;&gt;"",$J151,INT($B151)))</f>
        <v/>
      </c>
      <c r="R151" s="17" t="str">
        <f>IF($A151="","",IF($O151="Closed","Closed",IF($F151="Unassigned","Unassigned",IF(AND($K151&lt;&gt;"",$K151&lt;Settings!$C$3),"Overdue",IF($Q151&gt;=Settings!$C$4,"Inactive","On Track")))))</f>
        <v>Closed</v>
      </c>
      <c r="S151" s="17" t="str">
        <f t="shared" si="10"/>
        <v/>
      </c>
      <c r="T151" s="36">
        <f t="shared" si="11"/>
        <v>46235</v>
      </c>
      <c r="U151" s="33">
        <f>IF(AND($O151="Open",OR(Dashboard!$D$3="All",$F151=Dashboard!$D$3)),$H151+ROW()/100000,0)</f>
        <v>0</v>
      </c>
    </row>
    <row r="152" spans="1:21" x14ac:dyDescent="0.25">
      <c r="A152" s="17" t="s">
        <v>369</v>
      </c>
      <c r="B152" s="32">
        <v>46250.736111111102</v>
      </c>
      <c r="C152" s="17" t="s">
        <v>67</v>
      </c>
      <c r="D152" s="17" t="s">
        <v>169</v>
      </c>
      <c r="E152" s="17" t="s">
        <v>123</v>
      </c>
      <c r="F152" s="17" t="s">
        <v>85</v>
      </c>
      <c r="G152" s="17" t="s">
        <v>18</v>
      </c>
      <c r="H152" s="33">
        <v>60600</v>
      </c>
      <c r="I152" s="32">
        <v>46251.1069444444</v>
      </c>
      <c r="J152" s="34">
        <v>46287</v>
      </c>
      <c r="K152" s="34"/>
      <c r="L152" s="34">
        <v>46287</v>
      </c>
      <c r="M152" s="17" t="s">
        <v>76</v>
      </c>
      <c r="N152" s="17">
        <f t="shared" si="8"/>
        <v>8.9</v>
      </c>
      <c r="O152" s="17" t="str">
        <f t="shared" si="9"/>
        <v>Closed</v>
      </c>
      <c r="P152" s="35">
        <f>IF($A152="","",IF($L152&lt;&gt;"",$L152,Settings!$C$3)-INT($B152))</f>
        <v>37</v>
      </c>
      <c r="Q152" s="17" t="str">
        <f>IF($O152&lt;&gt;"Open","",Settings!$C$3-IF($J152&lt;&gt;"",$J152,INT($B152)))</f>
        <v/>
      </c>
      <c r="R152" s="17" t="str">
        <f>IF($A152="","",IF($O152="Closed","Closed",IF($F152="Unassigned","Unassigned",IF(AND($K152&lt;&gt;"",$K152&lt;Settings!$C$3),"Overdue",IF($Q152&gt;=Settings!$C$4,"Inactive","On Track")))))</f>
        <v>Closed</v>
      </c>
      <c r="S152" s="17" t="str">
        <f t="shared" si="10"/>
        <v/>
      </c>
      <c r="T152" s="36">
        <f t="shared" si="11"/>
        <v>46235</v>
      </c>
      <c r="U152" s="33">
        <f>IF(AND($O152="Open",OR(Dashboard!$D$3="All",$F152=Dashboard!$D$3)),$H152+ROW()/100000,0)</f>
        <v>0</v>
      </c>
    </row>
    <row r="153" spans="1:21" x14ac:dyDescent="0.25">
      <c r="A153" s="17" t="s">
        <v>370</v>
      </c>
      <c r="B153" s="32">
        <v>46251.479166666701</v>
      </c>
      <c r="C153" s="17" t="s">
        <v>66</v>
      </c>
      <c r="D153" s="17" t="s">
        <v>140</v>
      </c>
      <c r="E153" s="17" t="s">
        <v>116</v>
      </c>
      <c r="F153" s="17" t="s">
        <v>83</v>
      </c>
      <c r="G153" s="17" t="s">
        <v>17</v>
      </c>
      <c r="H153" s="33">
        <v>15500</v>
      </c>
      <c r="I153" s="32">
        <v>46251.920833333301</v>
      </c>
      <c r="J153" s="34">
        <v>46264</v>
      </c>
      <c r="K153" s="34"/>
      <c r="L153" s="34">
        <v>46264</v>
      </c>
      <c r="M153" s="17"/>
      <c r="N153" s="17">
        <f t="shared" si="8"/>
        <v>10.6</v>
      </c>
      <c r="O153" s="17" t="str">
        <f t="shared" si="9"/>
        <v>Closed</v>
      </c>
      <c r="P153" s="35">
        <f>IF($A153="","",IF($L153&lt;&gt;"",$L153,Settings!$C$3)-INT($B153))</f>
        <v>13</v>
      </c>
      <c r="Q153" s="17" t="str">
        <f>IF($O153&lt;&gt;"Open","",Settings!$C$3-IF($J153&lt;&gt;"",$J153,INT($B153)))</f>
        <v/>
      </c>
      <c r="R153" s="17" t="str">
        <f>IF($A153="","",IF($O153="Closed","Closed",IF($F153="Unassigned","Unassigned",IF(AND($K153&lt;&gt;"",$K153&lt;Settings!$C$3),"Overdue",IF($Q153&gt;=Settings!$C$4,"Inactive","On Track")))))</f>
        <v>Closed</v>
      </c>
      <c r="S153" s="17" t="str">
        <f t="shared" si="10"/>
        <v/>
      </c>
      <c r="T153" s="36">
        <f t="shared" si="11"/>
        <v>46235</v>
      </c>
      <c r="U153" s="33">
        <f>IF(AND($O153="Open",OR(Dashboard!$D$3="All",$F153=Dashboard!$D$3)),$H153+ROW()/100000,0)</f>
        <v>0</v>
      </c>
    </row>
    <row r="154" spans="1:21" x14ac:dyDescent="0.25">
      <c r="A154" s="17" t="s">
        <v>371</v>
      </c>
      <c r="B154" s="32">
        <v>46251.708333333299</v>
      </c>
      <c r="C154" s="17" t="s">
        <v>69</v>
      </c>
      <c r="D154" s="17" t="s">
        <v>229</v>
      </c>
      <c r="E154" s="17" t="s">
        <v>110</v>
      </c>
      <c r="F154" s="17" t="s">
        <v>84</v>
      </c>
      <c r="G154" s="17" t="s">
        <v>47</v>
      </c>
      <c r="H154" s="33">
        <v>41400</v>
      </c>
      <c r="I154" s="32">
        <v>46252.104166666701</v>
      </c>
      <c r="J154" s="34">
        <v>46302</v>
      </c>
      <c r="K154" s="34">
        <v>46306</v>
      </c>
      <c r="L154" s="34"/>
      <c r="M154" s="17"/>
      <c r="N154" s="17">
        <f t="shared" si="8"/>
        <v>9.5</v>
      </c>
      <c r="O154" s="17" t="str">
        <f t="shared" si="9"/>
        <v>Open</v>
      </c>
      <c r="P154" s="35">
        <f>IF($A154="","",IF($L154&lt;&gt;"",$L154,Settings!$C$3)-INT($B154))</f>
        <v>63</v>
      </c>
      <c r="Q154" s="17">
        <f>IF($O154&lt;&gt;"Open","",Settings!$C$3-IF($J154&lt;&gt;"",$J154,INT($B154)))</f>
        <v>12</v>
      </c>
      <c r="R154" s="17" t="str">
        <f>IF($A154="","",IF($O154="Closed","Closed",IF($F154="Unassigned","Unassigned",IF(AND($K154&lt;&gt;"",$K154&lt;Settings!$C$3),"Overdue",IF($Q154&gt;=Settings!$C$4,"Inactive","On Track")))))</f>
        <v>Overdue</v>
      </c>
      <c r="S154" s="17" t="str">
        <f t="shared" si="10"/>
        <v>60+ days</v>
      </c>
      <c r="T154" s="36">
        <f t="shared" si="11"/>
        <v>46235</v>
      </c>
      <c r="U154" s="33">
        <f>IF(AND($O154="Open",OR(Dashboard!$D$3="All",$F154=Dashboard!$D$3)),$H154+ROW()/100000,0)</f>
        <v>41400.001539999997</v>
      </c>
    </row>
    <row r="155" spans="1:21" x14ac:dyDescent="0.25">
      <c r="A155" s="17" t="s">
        <v>372</v>
      </c>
      <c r="B155" s="32">
        <v>46253.625</v>
      </c>
      <c r="C155" s="17" t="s">
        <v>68</v>
      </c>
      <c r="D155" s="17" t="s">
        <v>233</v>
      </c>
      <c r="E155" s="17" t="s">
        <v>113</v>
      </c>
      <c r="F155" s="17" t="s">
        <v>84</v>
      </c>
      <c r="G155" s="17" t="s">
        <v>18</v>
      </c>
      <c r="H155" s="33">
        <v>32600</v>
      </c>
      <c r="I155" s="32">
        <v>46253.85</v>
      </c>
      <c r="J155" s="34">
        <v>46276</v>
      </c>
      <c r="K155" s="34"/>
      <c r="L155" s="34">
        <v>46276</v>
      </c>
      <c r="M155" s="17" t="s">
        <v>77</v>
      </c>
      <c r="N155" s="17">
        <f t="shared" si="8"/>
        <v>5.4</v>
      </c>
      <c r="O155" s="17" t="str">
        <f t="shared" si="9"/>
        <v>Closed</v>
      </c>
      <c r="P155" s="35">
        <f>IF($A155="","",IF($L155&lt;&gt;"",$L155,Settings!$C$3)-INT($B155))</f>
        <v>23</v>
      </c>
      <c r="Q155" s="17" t="str">
        <f>IF($O155&lt;&gt;"Open","",Settings!$C$3-IF($J155&lt;&gt;"",$J155,INT($B155)))</f>
        <v/>
      </c>
      <c r="R155" s="17" t="str">
        <f>IF($A155="","",IF($O155="Closed","Closed",IF($F155="Unassigned","Unassigned",IF(AND($K155&lt;&gt;"",$K155&lt;Settings!$C$3),"Overdue",IF($Q155&gt;=Settings!$C$4,"Inactive","On Track")))))</f>
        <v>Closed</v>
      </c>
      <c r="S155" s="17" t="str">
        <f t="shared" si="10"/>
        <v/>
      </c>
      <c r="T155" s="36">
        <f t="shared" si="11"/>
        <v>46235</v>
      </c>
      <c r="U155" s="33">
        <f>IF(AND($O155="Open",OR(Dashboard!$D$3="All",$F155=Dashboard!$D$3)),$H155+ROW()/100000,0)</f>
        <v>0</v>
      </c>
    </row>
    <row r="156" spans="1:21" x14ac:dyDescent="0.25">
      <c r="A156" s="17" t="s">
        <v>373</v>
      </c>
      <c r="B156" s="32">
        <v>46253.743055555598</v>
      </c>
      <c r="C156" s="17" t="s">
        <v>64</v>
      </c>
      <c r="D156" s="17" t="s">
        <v>249</v>
      </c>
      <c r="E156" s="17" t="s">
        <v>113</v>
      </c>
      <c r="F156" s="17" t="s">
        <v>83</v>
      </c>
      <c r="G156" s="17" t="s">
        <v>18</v>
      </c>
      <c r="H156" s="33">
        <v>14200</v>
      </c>
      <c r="I156" s="32">
        <v>46253.863888888904</v>
      </c>
      <c r="J156" s="34">
        <v>46265</v>
      </c>
      <c r="K156" s="34"/>
      <c r="L156" s="34">
        <v>46265</v>
      </c>
      <c r="M156" s="17" t="s">
        <v>75</v>
      </c>
      <c r="N156" s="17">
        <f t="shared" si="8"/>
        <v>2.9</v>
      </c>
      <c r="O156" s="17" t="str">
        <f t="shared" si="9"/>
        <v>Closed</v>
      </c>
      <c r="P156" s="35">
        <f>IF($A156="","",IF($L156&lt;&gt;"",$L156,Settings!$C$3)-INT($B156))</f>
        <v>12</v>
      </c>
      <c r="Q156" s="17" t="str">
        <f>IF($O156&lt;&gt;"Open","",Settings!$C$3-IF($J156&lt;&gt;"",$J156,INT($B156)))</f>
        <v/>
      </c>
      <c r="R156" s="17" t="str">
        <f>IF($A156="","",IF($O156="Closed","Closed",IF($F156="Unassigned","Unassigned",IF(AND($K156&lt;&gt;"",$K156&lt;Settings!$C$3),"Overdue",IF($Q156&gt;=Settings!$C$4,"Inactive","On Track")))))</f>
        <v>Closed</v>
      </c>
      <c r="S156" s="17" t="str">
        <f t="shared" si="10"/>
        <v/>
      </c>
      <c r="T156" s="36">
        <f t="shared" si="11"/>
        <v>46235</v>
      </c>
      <c r="U156" s="33">
        <f>IF(AND($O156="Open",OR(Dashboard!$D$3="All",$F156=Dashboard!$D$3)),$H156+ROW()/100000,0)</f>
        <v>0</v>
      </c>
    </row>
    <row r="157" spans="1:21" x14ac:dyDescent="0.25">
      <c r="A157" s="17" t="s">
        <v>374</v>
      </c>
      <c r="B157" s="32">
        <v>46254.375</v>
      </c>
      <c r="C157" s="17" t="s">
        <v>65</v>
      </c>
      <c r="D157" s="17" t="s">
        <v>243</v>
      </c>
      <c r="E157" s="17" t="s">
        <v>123</v>
      </c>
      <c r="F157" s="17" t="s">
        <v>83</v>
      </c>
      <c r="G157" s="17" t="s">
        <v>47</v>
      </c>
      <c r="H157" s="33">
        <v>14400</v>
      </c>
      <c r="I157" s="32">
        <v>46255.241666666698</v>
      </c>
      <c r="J157" s="34">
        <v>46296</v>
      </c>
      <c r="K157" s="34">
        <v>46303</v>
      </c>
      <c r="L157" s="34"/>
      <c r="M157" s="17"/>
      <c r="N157" s="17">
        <f t="shared" si="8"/>
        <v>20.8</v>
      </c>
      <c r="O157" s="17" t="str">
        <f t="shared" si="9"/>
        <v>Open</v>
      </c>
      <c r="P157" s="35">
        <f>IF($A157="","",IF($L157&lt;&gt;"",$L157,Settings!$C$3)-INT($B157))</f>
        <v>60</v>
      </c>
      <c r="Q157" s="17">
        <f>IF($O157&lt;&gt;"Open","",Settings!$C$3-IF($J157&lt;&gt;"",$J157,INT($B157)))</f>
        <v>18</v>
      </c>
      <c r="R157" s="17" t="str">
        <f>IF($A157="","",IF($O157="Closed","Closed",IF($F157="Unassigned","Unassigned",IF(AND($K157&lt;&gt;"",$K157&lt;Settings!$C$3),"Overdue",IF($Q157&gt;=Settings!$C$4,"Inactive","On Track")))))</f>
        <v>Overdue</v>
      </c>
      <c r="S157" s="17" t="str">
        <f t="shared" si="10"/>
        <v>31-60 days</v>
      </c>
      <c r="T157" s="36">
        <f t="shared" si="11"/>
        <v>46235</v>
      </c>
      <c r="U157" s="33">
        <f>IF(AND($O157="Open",OR(Dashboard!$D$3="All",$F157=Dashboard!$D$3)),$H157+ROW()/100000,0)</f>
        <v>14400.00157</v>
      </c>
    </row>
    <row r="158" spans="1:21" x14ac:dyDescent="0.25">
      <c r="A158" s="17" t="s">
        <v>375</v>
      </c>
      <c r="B158" s="32">
        <v>46254.409722222197</v>
      </c>
      <c r="C158" s="17" t="s">
        <v>68</v>
      </c>
      <c r="D158" s="17" t="s">
        <v>265</v>
      </c>
      <c r="E158" s="17" t="s">
        <v>113</v>
      </c>
      <c r="F158" s="17" t="s">
        <v>82</v>
      </c>
      <c r="G158" s="17" t="s">
        <v>47</v>
      </c>
      <c r="H158" s="33">
        <v>9300</v>
      </c>
      <c r="I158" s="32">
        <v>46254.597222222197</v>
      </c>
      <c r="J158" s="34">
        <v>46312</v>
      </c>
      <c r="K158" s="34">
        <v>46320</v>
      </c>
      <c r="L158" s="34"/>
      <c r="M158" s="17"/>
      <c r="N158" s="17">
        <f t="shared" si="8"/>
        <v>4.5</v>
      </c>
      <c r="O158" s="17" t="str">
        <f t="shared" si="9"/>
        <v>Open</v>
      </c>
      <c r="P158" s="35">
        <f>IF($A158="","",IF($L158&lt;&gt;"",$L158,Settings!$C$3)-INT($B158))</f>
        <v>60</v>
      </c>
      <c r="Q158" s="17">
        <f>IF($O158&lt;&gt;"Open","",Settings!$C$3-IF($J158&lt;&gt;"",$J158,INT($B158)))</f>
        <v>2</v>
      </c>
      <c r="R158" s="17" t="str">
        <f>IF($A158="","",IF($O158="Closed","Closed",IF($F158="Unassigned","Unassigned",IF(AND($K158&lt;&gt;"",$K158&lt;Settings!$C$3),"Overdue",IF($Q158&gt;=Settings!$C$4,"Inactive","On Track")))))</f>
        <v>On Track</v>
      </c>
      <c r="S158" s="17" t="str">
        <f t="shared" si="10"/>
        <v>31-60 days</v>
      </c>
      <c r="T158" s="36">
        <f t="shared" si="11"/>
        <v>46235</v>
      </c>
      <c r="U158" s="33">
        <f>IF(AND($O158="Open",OR(Dashboard!$D$3="All",$F158=Dashboard!$D$3)),$H158+ROW()/100000,0)</f>
        <v>9300.0015800000001</v>
      </c>
    </row>
    <row r="159" spans="1:21" x14ac:dyDescent="0.25">
      <c r="A159" s="17" t="s">
        <v>376</v>
      </c>
      <c r="B159" s="32">
        <v>46254.506944444503</v>
      </c>
      <c r="C159" s="17" t="s">
        <v>62</v>
      </c>
      <c r="D159" s="17" t="s">
        <v>377</v>
      </c>
      <c r="E159" s="17" t="s">
        <v>113</v>
      </c>
      <c r="F159" s="17" t="s">
        <v>85</v>
      </c>
      <c r="G159" s="17" t="s">
        <v>46</v>
      </c>
      <c r="H159" s="33">
        <v>33000</v>
      </c>
      <c r="I159" s="32">
        <v>46254.556944444397</v>
      </c>
      <c r="J159" s="34">
        <v>46296</v>
      </c>
      <c r="K159" s="34">
        <v>46303</v>
      </c>
      <c r="L159" s="34"/>
      <c r="M159" s="17"/>
      <c r="N159" s="17">
        <f t="shared" si="8"/>
        <v>1.2</v>
      </c>
      <c r="O159" s="17" t="str">
        <f t="shared" si="9"/>
        <v>Open</v>
      </c>
      <c r="P159" s="35">
        <f>IF($A159="","",IF($L159&lt;&gt;"",$L159,Settings!$C$3)-INT($B159))</f>
        <v>60</v>
      </c>
      <c r="Q159" s="17">
        <f>IF($O159&lt;&gt;"Open","",Settings!$C$3-IF($J159&lt;&gt;"",$J159,INT($B159)))</f>
        <v>18</v>
      </c>
      <c r="R159" s="17" t="str">
        <f>IF($A159="","",IF($O159="Closed","Closed",IF($F159="Unassigned","Unassigned",IF(AND($K159&lt;&gt;"",$K159&lt;Settings!$C$3),"Overdue",IF($Q159&gt;=Settings!$C$4,"Inactive","On Track")))))</f>
        <v>Overdue</v>
      </c>
      <c r="S159" s="17" t="str">
        <f t="shared" si="10"/>
        <v>31-60 days</v>
      </c>
      <c r="T159" s="36">
        <f t="shared" si="11"/>
        <v>46235</v>
      </c>
      <c r="U159" s="33">
        <f>IF(AND($O159="Open",OR(Dashboard!$D$3="All",$F159=Dashboard!$D$3)),$H159+ROW()/100000,0)</f>
        <v>33000.00159</v>
      </c>
    </row>
    <row r="160" spans="1:21" x14ac:dyDescent="0.25">
      <c r="A160" s="17" t="s">
        <v>378</v>
      </c>
      <c r="B160" s="32">
        <v>46254.513888888898</v>
      </c>
      <c r="C160" s="17" t="s">
        <v>62</v>
      </c>
      <c r="D160" s="17" t="s">
        <v>287</v>
      </c>
      <c r="E160" s="17" t="s">
        <v>138</v>
      </c>
      <c r="F160" s="17" t="s">
        <v>80</v>
      </c>
      <c r="G160" s="17" t="s">
        <v>47</v>
      </c>
      <c r="H160" s="33">
        <v>24700</v>
      </c>
      <c r="I160" s="32">
        <v>46254.734722222202</v>
      </c>
      <c r="J160" s="34">
        <v>46296</v>
      </c>
      <c r="K160" s="34">
        <v>46300</v>
      </c>
      <c r="L160" s="34"/>
      <c r="M160" s="17"/>
      <c r="N160" s="17">
        <f t="shared" si="8"/>
        <v>5.3</v>
      </c>
      <c r="O160" s="17" t="str">
        <f t="shared" si="9"/>
        <v>Open</v>
      </c>
      <c r="P160" s="35">
        <f>IF($A160="","",IF($L160&lt;&gt;"",$L160,Settings!$C$3)-INT($B160))</f>
        <v>60</v>
      </c>
      <c r="Q160" s="17">
        <f>IF($O160&lt;&gt;"Open","",Settings!$C$3-IF($J160&lt;&gt;"",$J160,INT($B160)))</f>
        <v>18</v>
      </c>
      <c r="R160" s="17" t="str">
        <f>IF($A160="","",IF($O160="Closed","Closed",IF($F160="Unassigned","Unassigned",IF(AND($K160&lt;&gt;"",$K160&lt;Settings!$C$3),"Overdue",IF($Q160&gt;=Settings!$C$4,"Inactive","On Track")))))</f>
        <v>Overdue</v>
      </c>
      <c r="S160" s="17" t="str">
        <f t="shared" si="10"/>
        <v>31-60 days</v>
      </c>
      <c r="T160" s="36">
        <f t="shared" si="11"/>
        <v>46235</v>
      </c>
      <c r="U160" s="33">
        <f>IF(AND($O160="Open",OR(Dashboard!$D$3="All",$F160=Dashboard!$D$3)),$H160+ROW()/100000,0)</f>
        <v>24700.0016</v>
      </c>
    </row>
    <row r="161" spans="1:21" x14ac:dyDescent="0.25">
      <c r="A161" s="17" t="s">
        <v>379</v>
      </c>
      <c r="B161" s="32">
        <v>46256.340277777803</v>
      </c>
      <c r="C161" s="17" t="s">
        <v>63</v>
      </c>
      <c r="D161" s="17" t="s">
        <v>179</v>
      </c>
      <c r="E161" s="17" t="s">
        <v>138</v>
      </c>
      <c r="F161" s="17" t="s">
        <v>82</v>
      </c>
      <c r="G161" s="17" t="s">
        <v>17</v>
      </c>
      <c r="H161" s="33">
        <v>78500</v>
      </c>
      <c r="I161" s="32">
        <v>46256.6027777778</v>
      </c>
      <c r="J161" s="34">
        <v>46264</v>
      </c>
      <c r="K161" s="34"/>
      <c r="L161" s="34">
        <v>46264</v>
      </c>
      <c r="M161" s="17"/>
      <c r="N161" s="17">
        <f t="shared" si="8"/>
        <v>6.3</v>
      </c>
      <c r="O161" s="17" t="str">
        <f t="shared" si="9"/>
        <v>Closed</v>
      </c>
      <c r="P161" s="35">
        <f>IF($A161="","",IF($L161&lt;&gt;"",$L161,Settings!$C$3)-INT($B161))</f>
        <v>8</v>
      </c>
      <c r="Q161" s="17" t="str">
        <f>IF($O161&lt;&gt;"Open","",Settings!$C$3-IF($J161&lt;&gt;"",$J161,INT($B161)))</f>
        <v/>
      </c>
      <c r="R161" s="17" t="str">
        <f>IF($A161="","",IF($O161="Closed","Closed",IF($F161="Unassigned","Unassigned",IF(AND($K161&lt;&gt;"",$K161&lt;Settings!$C$3),"Overdue",IF($Q161&gt;=Settings!$C$4,"Inactive","On Track")))))</f>
        <v>Closed</v>
      </c>
      <c r="S161" s="17" t="str">
        <f t="shared" si="10"/>
        <v/>
      </c>
      <c r="T161" s="36">
        <f t="shared" si="11"/>
        <v>46235</v>
      </c>
      <c r="U161" s="33">
        <f>IF(AND($O161="Open",OR(Dashboard!$D$3="All",$F161=Dashboard!$D$3)),$H161+ROW()/100000,0)</f>
        <v>0</v>
      </c>
    </row>
    <row r="162" spans="1:21" x14ac:dyDescent="0.25">
      <c r="A162" s="17" t="s">
        <v>380</v>
      </c>
      <c r="B162" s="32">
        <v>46256.548611111102</v>
      </c>
      <c r="C162" s="17" t="s">
        <v>63</v>
      </c>
      <c r="D162" s="17" t="s">
        <v>307</v>
      </c>
      <c r="E162" s="17" t="s">
        <v>113</v>
      </c>
      <c r="F162" s="17" t="s">
        <v>83</v>
      </c>
      <c r="G162" s="17" t="s">
        <v>17</v>
      </c>
      <c r="H162" s="33">
        <v>10700</v>
      </c>
      <c r="I162" s="32">
        <v>46256.6694444444</v>
      </c>
      <c r="J162" s="34">
        <v>46269</v>
      </c>
      <c r="K162" s="34"/>
      <c r="L162" s="34">
        <v>46269</v>
      </c>
      <c r="M162" s="17"/>
      <c r="N162" s="17">
        <f t="shared" si="8"/>
        <v>2.9</v>
      </c>
      <c r="O162" s="17" t="str">
        <f t="shared" si="9"/>
        <v>Closed</v>
      </c>
      <c r="P162" s="35">
        <f>IF($A162="","",IF($L162&lt;&gt;"",$L162,Settings!$C$3)-INT($B162))</f>
        <v>13</v>
      </c>
      <c r="Q162" s="17" t="str">
        <f>IF($O162&lt;&gt;"Open","",Settings!$C$3-IF($J162&lt;&gt;"",$J162,INT($B162)))</f>
        <v/>
      </c>
      <c r="R162" s="17" t="str">
        <f>IF($A162="","",IF($O162="Closed","Closed",IF($F162="Unassigned","Unassigned",IF(AND($K162&lt;&gt;"",$K162&lt;Settings!$C$3),"Overdue",IF($Q162&gt;=Settings!$C$4,"Inactive","On Track")))))</f>
        <v>Closed</v>
      </c>
      <c r="S162" s="17" t="str">
        <f t="shared" si="10"/>
        <v/>
      </c>
      <c r="T162" s="36">
        <f t="shared" si="11"/>
        <v>46235</v>
      </c>
      <c r="U162" s="33">
        <f>IF(AND($O162="Open",OR(Dashboard!$D$3="All",$F162=Dashboard!$D$3)),$H162+ROW()/100000,0)</f>
        <v>0</v>
      </c>
    </row>
    <row r="163" spans="1:21" x14ac:dyDescent="0.25">
      <c r="A163" s="17" t="s">
        <v>381</v>
      </c>
      <c r="B163" s="32">
        <v>46256.645833333299</v>
      </c>
      <c r="C163" s="17" t="s">
        <v>62</v>
      </c>
      <c r="D163" s="17" t="s">
        <v>259</v>
      </c>
      <c r="E163" s="17" t="s">
        <v>110</v>
      </c>
      <c r="F163" s="17" t="s">
        <v>83</v>
      </c>
      <c r="G163" s="17" t="s">
        <v>47</v>
      </c>
      <c r="H163" s="33">
        <v>32900</v>
      </c>
      <c r="I163" s="32">
        <v>46256.970833333296</v>
      </c>
      <c r="J163" s="34">
        <v>46309</v>
      </c>
      <c r="K163" s="34">
        <v>46313</v>
      </c>
      <c r="L163" s="34"/>
      <c r="M163" s="17"/>
      <c r="N163" s="17">
        <f t="shared" si="8"/>
        <v>7.8</v>
      </c>
      <c r="O163" s="17" t="str">
        <f t="shared" si="9"/>
        <v>Open</v>
      </c>
      <c r="P163" s="35">
        <f>IF($A163="","",IF($L163&lt;&gt;"",$L163,Settings!$C$3)-INT($B163))</f>
        <v>58</v>
      </c>
      <c r="Q163" s="17">
        <f>IF($O163&lt;&gt;"Open","",Settings!$C$3-IF($J163&lt;&gt;"",$J163,INT($B163)))</f>
        <v>5</v>
      </c>
      <c r="R163" s="17" t="str">
        <f>IF($A163="","",IF($O163="Closed","Closed",IF($F163="Unassigned","Unassigned",IF(AND($K163&lt;&gt;"",$K163&lt;Settings!$C$3),"Overdue",IF($Q163&gt;=Settings!$C$4,"Inactive","On Track")))))</f>
        <v>Overdue</v>
      </c>
      <c r="S163" s="17" t="str">
        <f t="shared" si="10"/>
        <v>31-60 days</v>
      </c>
      <c r="T163" s="36">
        <f t="shared" si="11"/>
        <v>46235</v>
      </c>
      <c r="U163" s="33">
        <f>IF(AND($O163="Open",OR(Dashboard!$D$3="All",$F163=Dashboard!$D$3)),$H163+ROW()/100000,0)</f>
        <v>32900.001629999999</v>
      </c>
    </row>
    <row r="164" spans="1:21" x14ac:dyDescent="0.25">
      <c r="A164" s="17" t="s">
        <v>382</v>
      </c>
      <c r="B164" s="32">
        <v>46257.340277777803</v>
      </c>
      <c r="C164" s="17" t="s">
        <v>63</v>
      </c>
      <c r="D164" s="17" t="s">
        <v>215</v>
      </c>
      <c r="E164" s="17" t="s">
        <v>116</v>
      </c>
      <c r="F164" s="17" t="s">
        <v>80</v>
      </c>
      <c r="G164" s="17" t="s">
        <v>47</v>
      </c>
      <c r="H164" s="33">
        <v>29800</v>
      </c>
      <c r="I164" s="32">
        <v>46257.369444444397</v>
      </c>
      <c r="J164" s="34">
        <v>46309</v>
      </c>
      <c r="K164" s="34">
        <v>46312</v>
      </c>
      <c r="L164" s="34"/>
      <c r="M164" s="17"/>
      <c r="N164" s="17">
        <f t="shared" si="8"/>
        <v>0.7</v>
      </c>
      <c r="O164" s="17" t="str">
        <f t="shared" si="9"/>
        <v>Open</v>
      </c>
      <c r="P164" s="35">
        <f>IF($A164="","",IF($L164&lt;&gt;"",$L164,Settings!$C$3)-INT($B164))</f>
        <v>57</v>
      </c>
      <c r="Q164" s="17">
        <f>IF($O164&lt;&gt;"Open","",Settings!$C$3-IF($J164&lt;&gt;"",$J164,INT($B164)))</f>
        <v>5</v>
      </c>
      <c r="R164" s="17" t="str">
        <f>IF($A164="","",IF($O164="Closed","Closed",IF($F164="Unassigned","Unassigned",IF(AND($K164&lt;&gt;"",$K164&lt;Settings!$C$3),"Overdue",IF($Q164&gt;=Settings!$C$4,"Inactive","On Track")))))</f>
        <v>Overdue</v>
      </c>
      <c r="S164" s="17" t="str">
        <f t="shared" si="10"/>
        <v>31-60 days</v>
      </c>
      <c r="T164" s="36">
        <f t="shared" si="11"/>
        <v>46235</v>
      </c>
      <c r="U164" s="33">
        <f>IF(AND($O164="Open",OR(Dashboard!$D$3="All",$F164=Dashboard!$D$3)),$H164+ROW()/100000,0)</f>
        <v>29800.001639999999</v>
      </c>
    </row>
    <row r="165" spans="1:21" x14ac:dyDescent="0.25">
      <c r="A165" s="17" t="s">
        <v>383</v>
      </c>
      <c r="B165" s="32">
        <v>46257.444444444503</v>
      </c>
      <c r="C165" s="17" t="s">
        <v>66</v>
      </c>
      <c r="D165" s="17" t="s">
        <v>129</v>
      </c>
      <c r="E165" s="17" t="s">
        <v>147</v>
      </c>
      <c r="F165" s="17" t="s">
        <v>83</v>
      </c>
      <c r="G165" s="17" t="s">
        <v>48</v>
      </c>
      <c r="H165" s="33">
        <v>76000</v>
      </c>
      <c r="I165" s="32">
        <v>46257.615277777797</v>
      </c>
      <c r="J165" s="34">
        <v>46296</v>
      </c>
      <c r="K165" s="34">
        <v>46303</v>
      </c>
      <c r="L165" s="34"/>
      <c r="M165" s="17"/>
      <c r="N165" s="17">
        <f t="shared" si="8"/>
        <v>4.0999999999999996</v>
      </c>
      <c r="O165" s="17" t="str">
        <f t="shared" si="9"/>
        <v>Open</v>
      </c>
      <c r="P165" s="35">
        <f>IF($A165="","",IF($L165&lt;&gt;"",$L165,Settings!$C$3)-INT($B165))</f>
        <v>57</v>
      </c>
      <c r="Q165" s="17">
        <f>IF($O165&lt;&gt;"Open","",Settings!$C$3-IF($J165&lt;&gt;"",$J165,INT($B165)))</f>
        <v>18</v>
      </c>
      <c r="R165" s="17" t="str">
        <f>IF($A165="","",IF($O165="Closed","Closed",IF($F165="Unassigned","Unassigned",IF(AND($K165&lt;&gt;"",$K165&lt;Settings!$C$3),"Overdue",IF($Q165&gt;=Settings!$C$4,"Inactive","On Track")))))</f>
        <v>Overdue</v>
      </c>
      <c r="S165" s="17" t="str">
        <f t="shared" si="10"/>
        <v>31-60 days</v>
      </c>
      <c r="T165" s="36">
        <f t="shared" si="11"/>
        <v>46235</v>
      </c>
      <c r="U165" s="33">
        <f>IF(AND($O165="Open",OR(Dashboard!$D$3="All",$F165=Dashboard!$D$3)),$H165+ROW()/100000,0)</f>
        <v>76000.001650000006</v>
      </c>
    </row>
    <row r="166" spans="1:21" x14ac:dyDescent="0.25">
      <c r="A166" s="17" t="s">
        <v>384</v>
      </c>
      <c r="B166" s="32">
        <v>46257.479166666701</v>
      </c>
      <c r="C166" s="17" t="s">
        <v>63</v>
      </c>
      <c r="D166" s="17" t="s">
        <v>287</v>
      </c>
      <c r="E166" s="17" t="s">
        <v>113</v>
      </c>
      <c r="F166" s="17" t="s">
        <v>82</v>
      </c>
      <c r="G166" s="17" t="s">
        <v>18</v>
      </c>
      <c r="H166" s="33">
        <v>35600</v>
      </c>
      <c r="I166" s="32">
        <v>46257.754166666702</v>
      </c>
      <c r="J166" s="34">
        <v>46274</v>
      </c>
      <c r="K166" s="34"/>
      <c r="L166" s="34">
        <v>46274</v>
      </c>
      <c r="M166" s="17" t="s">
        <v>75</v>
      </c>
      <c r="N166" s="17">
        <f t="shared" si="8"/>
        <v>6.6</v>
      </c>
      <c r="O166" s="17" t="str">
        <f t="shared" si="9"/>
        <v>Closed</v>
      </c>
      <c r="P166" s="35">
        <f>IF($A166="","",IF($L166&lt;&gt;"",$L166,Settings!$C$3)-INT($B166))</f>
        <v>17</v>
      </c>
      <c r="Q166" s="17" t="str">
        <f>IF($O166&lt;&gt;"Open","",Settings!$C$3-IF($J166&lt;&gt;"",$J166,INT($B166)))</f>
        <v/>
      </c>
      <c r="R166" s="17" t="str">
        <f>IF($A166="","",IF($O166="Closed","Closed",IF($F166="Unassigned","Unassigned",IF(AND($K166&lt;&gt;"",$K166&lt;Settings!$C$3),"Overdue",IF($Q166&gt;=Settings!$C$4,"Inactive","On Track")))))</f>
        <v>Closed</v>
      </c>
      <c r="S166" s="17" t="str">
        <f t="shared" si="10"/>
        <v/>
      </c>
      <c r="T166" s="36">
        <f t="shared" si="11"/>
        <v>46235</v>
      </c>
      <c r="U166" s="33">
        <f>IF(AND($O166="Open",OR(Dashboard!$D$3="All",$F166=Dashboard!$D$3)),$H166+ROW()/100000,0)</f>
        <v>0</v>
      </c>
    </row>
    <row r="167" spans="1:21" x14ac:dyDescent="0.25">
      <c r="A167" s="17" t="s">
        <v>385</v>
      </c>
      <c r="B167" s="32">
        <v>46257.618055555598</v>
      </c>
      <c r="C167" s="17" t="s">
        <v>63</v>
      </c>
      <c r="D167" s="17" t="s">
        <v>283</v>
      </c>
      <c r="E167" s="17" t="s">
        <v>113</v>
      </c>
      <c r="F167" s="17" t="s">
        <v>82</v>
      </c>
      <c r="G167" s="17" t="s">
        <v>46</v>
      </c>
      <c r="H167" s="33">
        <v>21500</v>
      </c>
      <c r="I167" s="32">
        <v>46258.372222222199</v>
      </c>
      <c r="J167" s="34">
        <v>46313</v>
      </c>
      <c r="K167" s="34">
        <v>46319</v>
      </c>
      <c r="L167" s="34"/>
      <c r="M167" s="17"/>
      <c r="N167" s="17">
        <f t="shared" si="8"/>
        <v>18.100000000000001</v>
      </c>
      <c r="O167" s="17" t="str">
        <f t="shared" si="9"/>
        <v>Open</v>
      </c>
      <c r="P167" s="35">
        <f>IF($A167="","",IF($L167&lt;&gt;"",$L167,Settings!$C$3)-INT($B167))</f>
        <v>57</v>
      </c>
      <c r="Q167" s="17">
        <f>IF($O167&lt;&gt;"Open","",Settings!$C$3-IF($J167&lt;&gt;"",$J167,INT($B167)))</f>
        <v>1</v>
      </c>
      <c r="R167" s="17" t="str">
        <f>IF($A167="","",IF($O167="Closed","Closed",IF($F167="Unassigned","Unassigned",IF(AND($K167&lt;&gt;"",$K167&lt;Settings!$C$3),"Overdue",IF($Q167&gt;=Settings!$C$4,"Inactive","On Track")))))</f>
        <v>On Track</v>
      </c>
      <c r="S167" s="17" t="str">
        <f t="shared" si="10"/>
        <v>31-60 days</v>
      </c>
      <c r="T167" s="36">
        <f t="shared" si="11"/>
        <v>46235</v>
      </c>
      <c r="U167" s="33">
        <f>IF(AND($O167="Open",OR(Dashboard!$D$3="All",$F167=Dashboard!$D$3)),$H167+ROW()/100000,0)</f>
        <v>21500.001670000001</v>
      </c>
    </row>
    <row r="168" spans="1:21" x14ac:dyDescent="0.25">
      <c r="A168" s="17" t="s">
        <v>386</v>
      </c>
      <c r="B168" s="32">
        <v>46257.715277777803</v>
      </c>
      <c r="C168" s="17" t="s">
        <v>65</v>
      </c>
      <c r="D168" s="17" t="s">
        <v>175</v>
      </c>
      <c r="E168" s="17" t="s">
        <v>147</v>
      </c>
      <c r="F168" s="17" t="s">
        <v>85</v>
      </c>
      <c r="G168" s="17" t="s">
        <v>17</v>
      </c>
      <c r="H168" s="33">
        <v>110700</v>
      </c>
      <c r="I168" s="32">
        <v>46257.906944444498</v>
      </c>
      <c r="J168" s="34">
        <v>46279</v>
      </c>
      <c r="K168" s="34"/>
      <c r="L168" s="34">
        <v>46279</v>
      </c>
      <c r="M168" s="17"/>
      <c r="N168" s="17">
        <f t="shared" si="8"/>
        <v>4.5999999999999996</v>
      </c>
      <c r="O168" s="17" t="str">
        <f t="shared" si="9"/>
        <v>Closed</v>
      </c>
      <c r="P168" s="35">
        <f>IF($A168="","",IF($L168&lt;&gt;"",$L168,Settings!$C$3)-INT($B168))</f>
        <v>22</v>
      </c>
      <c r="Q168" s="17" t="str">
        <f>IF($O168&lt;&gt;"Open","",Settings!$C$3-IF($J168&lt;&gt;"",$J168,INT($B168)))</f>
        <v/>
      </c>
      <c r="R168" s="17" t="str">
        <f>IF($A168="","",IF($O168="Closed","Closed",IF($F168="Unassigned","Unassigned",IF(AND($K168&lt;&gt;"",$K168&lt;Settings!$C$3),"Overdue",IF($Q168&gt;=Settings!$C$4,"Inactive","On Track")))))</f>
        <v>Closed</v>
      </c>
      <c r="S168" s="17" t="str">
        <f t="shared" si="10"/>
        <v/>
      </c>
      <c r="T168" s="36">
        <f t="shared" si="11"/>
        <v>46235</v>
      </c>
      <c r="U168" s="33">
        <f>IF(AND($O168="Open",OR(Dashboard!$D$3="All",$F168=Dashboard!$D$3)),$H168+ROW()/100000,0)</f>
        <v>0</v>
      </c>
    </row>
    <row r="169" spans="1:21" x14ac:dyDescent="0.25">
      <c r="A169" s="17" t="s">
        <v>387</v>
      </c>
      <c r="B169" s="32">
        <v>46257.736111111102</v>
      </c>
      <c r="C169" s="17" t="s">
        <v>66</v>
      </c>
      <c r="D169" s="17" t="s">
        <v>263</v>
      </c>
      <c r="E169" s="17" t="s">
        <v>123</v>
      </c>
      <c r="F169" s="17" t="s">
        <v>80</v>
      </c>
      <c r="G169" s="17" t="s">
        <v>46</v>
      </c>
      <c r="H169" s="33">
        <v>10800</v>
      </c>
      <c r="I169" s="32">
        <v>46257.7902777778</v>
      </c>
      <c r="J169" s="34">
        <v>46306</v>
      </c>
      <c r="K169" s="34">
        <v>46313</v>
      </c>
      <c r="L169" s="34"/>
      <c r="M169" s="17"/>
      <c r="N169" s="17">
        <f t="shared" si="8"/>
        <v>1.3</v>
      </c>
      <c r="O169" s="17" t="str">
        <f t="shared" si="9"/>
        <v>Open</v>
      </c>
      <c r="P169" s="35">
        <f>IF($A169="","",IF($L169&lt;&gt;"",$L169,Settings!$C$3)-INT($B169))</f>
        <v>57</v>
      </c>
      <c r="Q169" s="17">
        <f>IF($O169&lt;&gt;"Open","",Settings!$C$3-IF($J169&lt;&gt;"",$J169,INT($B169)))</f>
        <v>8</v>
      </c>
      <c r="R169" s="17" t="str">
        <f>IF($A169="","",IF($O169="Closed","Closed",IF($F169="Unassigned","Unassigned",IF(AND($K169&lt;&gt;"",$K169&lt;Settings!$C$3),"Overdue",IF($Q169&gt;=Settings!$C$4,"Inactive","On Track")))))</f>
        <v>Overdue</v>
      </c>
      <c r="S169" s="17" t="str">
        <f t="shared" si="10"/>
        <v>31-60 days</v>
      </c>
      <c r="T169" s="36">
        <f t="shared" si="11"/>
        <v>46235</v>
      </c>
      <c r="U169" s="33">
        <f>IF(AND($O169="Open",OR(Dashboard!$D$3="All",$F169=Dashboard!$D$3)),$H169+ROW()/100000,0)</f>
        <v>10800.001689999999</v>
      </c>
    </row>
    <row r="170" spans="1:21" x14ac:dyDescent="0.25">
      <c r="A170" s="17" t="s">
        <v>388</v>
      </c>
      <c r="B170" s="32">
        <v>46258.395833333299</v>
      </c>
      <c r="C170" s="17" t="s">
        <v>65</v>
      </c>
      <c r="D170" s="17" t="s">
        <v>257</v>
      </c>
      <c r="E170" s="17" t="s">
        <v>138</v>
      </c>
      <c r="F170" s="17" t="s">
        <v>80</v>
      </c>
      <c r="G170" s="17" t="s">
        <v>18</v>
      </c>
      <c r="H170" s="33">
        <v>20100</v>
      </c>
      <c r="I170" s="32">
        <v>46258.516666666699</v>
      </c>
      <c r="J170" s="34">
        <v>46281</v>
      </c>
      <c r="K170" s="34"/>
      <c r="L170" s="34">
        <v>46281</v>
      </c>
      <c r="M170" s="17" t="s">
        <v>77</v>
      </c>
      <c r="N170" s="17">
        <f t="shared" si="8"/>
        <v>2.9</v>
      </c>
      <c r="O170" s="17" t="str">
        <f t="shared" si="9"/>
        <v>Closed</v>
      </c>
      <c r="P170" s="35">
        <f>IF($A170="","",IF($L170&lt;&gt;"",$L170,Settings!$C$3)-INT($B170))</f>
        <v>23</v>
      </c>
      <c r="Q170" s="17" t="str">
        <f>IF($O170&lt;&gt;"Open","",Settings!$C$3-IF($J170&lt;&gt;"",$J170,INT($B170)))</f>
        <v/>
      </c>
      <c r="R170" s="17" t="str">
        <f>IF($A170="","",IF($O170="Closed","Closed",IF($F170="Unassigned","Unassigned",IF(AND($K170&lt;&gt;"",$K170&lt;Settings!$C$3),"Overdue",IF($Q170&gt;=Settings!$C$4,"Inactive","On Track")))))</f>
        <v>Closed</v>
      </c>
      <c r="S170" s="17" t="str">
        <f t="shared" si="10"/>
        <v/>
      </c>
      <c r="T170" s="36">
        <f t="shared" si="11"/>
        <v>46235</v>
      </c>
      <c r="U170" s="33">
        <f>IF(AND($O170="Open",OR(Dashboard!$D$3="All",$F170=Dashboard!$D$3)),$H170+ROW()/100000,0)</f>
        <v>0</v>
      </c>
    </row>
    <row r="171" spans="1:21" x14ac:dyDescent="0.25">
      <c r="A171" s="17" t="s">
        <v>389</v>
      </c>
      <c r="B171" s="32">
        <v>46258.395833333299</v>
      </c>
      <c r="C171" s="17" t="s">
        <v>63</v>
      </c>
      <c r="D171" s="17" t="s">
        <v>173</v>
      </c>
      <c r="E171" s="17" t="s">
        <v>110</v>
      </c>
      <c r="F171" s="17" t="s">
        <v>82</v>
      </c>
      <c r="G171" s="17" t="s">
        <v>48</v>
      </c>
      <c r="H171" s="33">
        <v>12200</v>
      </c>
      <c r="I171" s="32">
        <v>46259.679166666698</v>
      </c>
      <c r="J171" s="34">
        <v>46306</v>
      </c>
      <c r="K171" s="34">
        <v>46310</v>
      </c>
      <c r="L171" s="34"/>
      <c r="M171" s="17"/>
      <c r="N171" s="17">
        <f t="shared" si="8"/>
        <v>30.8</v>
      </c>
      <c r="O171" s="17" t="str">
        <f t="shared" si="9"/>
        <v>Open</v>
      </c>
      <c r="P171" s="35">
        <f>IF($A171="","",IF($L171&lt;&gt;"",$L171,Settings!$C$3)-INT($B171))</f>
        <v>56</v>
      </c>
      <c r="Q171" s="17">
        <f>IF($O171&lt;&gt;"Open","",Settings!$C$3-IF($J171&lt;&gt;"",$J171,INT($B171)))</f>
        <v>8</v>
      </c>
      <c r="R171" s="17" t="str">
        <f>IF($A171="","",IF($O171="Closed","Closed",IF($F171="Unassigned","Unassigned",IF(AND($K171&lt;&gt;"",$K171&lt;Settings!$C$3),"Overdue",IF($Q171&gt;=Settings!$C$4,"Inactive","On Track")))))</f>
        <v>Overdue</v>
      </c>
      <c r="S171" s="17" t="str">
        <f t="shared" si="10"/>
        <v>31-60 days</v>
      </c>
      <c r="T171" s="36">
        <f t="shared" si="11"/>
        <v>46235</v>
      </c>
      <c r="U171" s="33">
        <f>IF(AND($O171="Open",OR(Dashboard!$D$3="All",$F171=Dashboard!$D$3)),$H171+ROW()/100000,0)</f>
        <v>12200.00171</v>
      </c>
    </row>
    <row r="172" spans="1:21" x14ac:dyDescent="0.25">
      <c r="A172" s="17" t="s">
        <v>390</v>
      </c>
      <c r="B172" s="32">
        <v>46259.388888888898</v>
      </c>
      <c r="C172" s="17" t="s">
        <v>66</v>
      </c>
      <c r="D172" s="17" t="s">
        <v>171</v>
      </c>
      <c r="E172" s="17" t="s">
        <v>138</v>
      </c>
      <c r="F172" s="17" t="s">
        <v>80</v>
      </c>
      <c r="G172" s="17" t="s">
        <v>47</v>
      </c>
      <c r="H172" s="33">
        <v>28200</v>
      </c>
      <c r="I172" s="32">
        <v>46259.530555555597</v>
      </c>
      <c r="J172" s="34">
        <v>46306</v>
      </c>
      <c r="K172" s="34">
        <v>46311</v>
      </c>
      <c r="L172" s="34"/>
      <c r="M172" s="17"/>
      <c r="N172" s="17">
        <f t="shared" si="8"/>
        <v>3.4</v>
      </c>
      <c r="O172" s="17" t="str">
        <f t="shared" si="9"/>
        <v>Open</v>
      </c>
      <c r="P172" s="35">
        <f>IF($A172="","",IF($L172&lt;&gt;"",$L172,Settings!$C$3)-INT($B172))</f>
        <v>55</v>
      </c>
      <c r="Q172" s="17">
        <f>IF($O172&lt;&gt;"Open","",Settings!$C$3-IF($J172&lt;&gt;"",$J172,INT($B172)))</f>
        <v>8</v>
      </c>
      <c r="R172" s="17" t="str">
        <f>IF($A172="","",IF($O172="Closed","Closed",IF($F172="Unassigned","Unassigned",IF(AND($K172&lt;&gt;"",$K172&lt;Settings!$C$3),"Overdue",IF($Q172&gt;=Settings!$C$4,"Inactive","On Track")))))</f>
        <v>Overdue</v>
      </c>
      <c r="S172" s="17" t="str">
        <f t="shared" si="10"/>
        <v>31-60 days</v>
      </c>
      <c r="T172" s="36">
        <f t="shared" si="11"/>
        <v>46235</v>
      </c>
      <c r="U172" s="33">
        <f>IF(AND($O172="Open",OR(Dashboard!$D$3="All",$F172=Dashboard!$D$3)),$H172+ROW()/100000,0)</f>
        <v>28200.00172</v>
      </c>
    </row>
    <row r="173" spans="1:21" x14ac:dyDescent="0.25">
      <c r="A173" s="17" t="s">
        <v>391</v>
      </c>
      <c r="B173" s="32">
        <v>46259.416666666701</v>
      </c>
      <c r="C173" s="17" t="s">
        <v>63</v>
      </c>
      <c r="D173" s="17" t="s">
        <v>245</v>
      </c>
      <c r="E173" s="17" t="s">
        <v>113</v>
      </c>
      <c r="F173" s="17" t="s">
        <v>84</v>
      </c>
      <c r="G173" s="17" t="s">
        <v>47</v>
      </c>
      <c r="H173" s="33">
        <v>71900</v>
      </c>
      <c r="I173" s="32">
        <v>46259.775000000001</v>
      </c>
      <c r="J173" s="34">
        <v>46296</v>
      </c>
      <c r="K173" s="34">
        <v>46303</v>
      </c>
      <c r="L173" s="34"/>
      <c r="M173" s="17"/>
      <c r="N173" s="17">
        <f t="shared" si="8"/>
        <v>8.6</v>
      </c>
      <c r="O173" s="17" t="str">
        <f t="shared" si="9"/>
        <v>Open</v>
      </c>
      <c r="P173" s="35">
        <f>IF($A173="","",IF($L173&lt;&gt;"",$L173,Settings!$C$3)-INT($B173))</f>
        <v>55</v>
      </c>
      <c r="Q173" s="17">
        <f>IF($O173&lt;&gt;"Open","",Settings!$C$3-IF($J173&lt;&gt;"",$J173,INT($B173)))</f>
        <v>18</v>
      </c>
      <c r="R173" s="17" t="str">
        <f>IF($A173="","",IF($O173="Closed","Closed",IF($F173="Unassigned","Unassigned",IF(AND($K173&lt;&gt;"",$K173&lt;Settings!$C$3),"Overdue",IF($Q173&gt;=Settings!$C$4,"Inactive","On Track")))))</f>
        <v>Overdue</v>
      </c>
      <c r="S173" s="17" t="str">
        <f t="shared" si="10"/>
        <v>31-60 days</v>
      </c>
      <c r="T173" s="36">
        <f t="shared" si="11"/>
        <v>46235</v>
      </c>
      <c r="U173" s="33">
        <f>IF(AND($O173="Open",OR(Dashboard!$D$3="All",$F173=Dashboard!$D$3)),$H173+ROW()/100000,0)</f>
        <v>71900.001730000004</v>
      </c>
    </row>
    <row r="174" spans="1:21" x14ac:dyDescent="0.25">
      <c r="A174" s="17" t="s">
        <v>392</v>
      </c>
      <c r="B174" s="32">
        <v>46259.618055555598</v>
      </c>
      <c r="C174" s="17" t="s">
        <v>64</v>
      </c>
      <c r="D174" s="17" t="s">
        <v>118</v>
      </c>
      <c r="E174" s="17" t="s">
        <v>113</v>
      </c>
      <c r="F174" s="17" t="s">
        <v>85</v>
      </c>
      <c r="G174" s="17" t="s">
        <v>46</v>
      </c>
      <c r="H174" s="33">
        <v>43600</v>
      </c>
      <c r="I174" s="32">
        <v>46259.655555555597</v>
      </c>
      <c r="J174" s="34">
        <v>46302</v>
      </c>
      <c r="K174" s="34">
        <v>46306</v>
      </c>
      <c r="L174" s="34"/>
      <c r="M174" s="17"/>
      <c r="N174" s="17">
        <f t="shared" si="8"/>
        <v>0.9</v>
      </c>
      <c r="O174" s="17" t="str">
        <f t="shared" si="9"/>
        <v>Open</v>
      </c>
      <c r="P174" s="35">
        <f>IF($A174="","",IF($L174&lt;&gt;"",$L174,Settings!$C$3)-INT($B174))</f>
        <v>55</v>
      </c>
      <c r="Q174" s="17">
        <f>IF($O174&lt;&gt;"Open","",Settings!$C$3-IF($J174&lt;&gt;"",$J174,INT($B174)))</f>
        <v>12</v>
      </c>
      <c r="R174" s="17" t="str">
        <f>IF($A174="","",IF($O174="Closed","Closed",IF($F174="Unassigned","Unassigned",IF(AND($K174&lt;&gt;"",$K174&lt;Settings!$C$3),"Overdue",IF($Q174&gt;=Settings!$C$4,"Inactive","On Track")))))</f>
        <v>Overdue</v>
      </c>
      <c r="S174" s="17" t="str">
        <f t="shared" si="10"/>
        <v>31-60 days</v>
      </c>
      <c r="T174" s="36">
        <f t="shared" si="11"/>
        <v>46235</v>
      </c>
      <c r="U174" s="33">
        <f>IF(AND($O174="Open",OR(Dashboard!$D$3="All",$F174=Dashboard!$D$3)),$H174+ROW()/100000,0)</f>
        <v>43600.00174</v>
      </c>
    </row>
    <row r="175" spans="1:21" x14ac:dyDescent="0.25">
      <c r="A175" s="17" t="s">
        <v>393</v>
      </c>
      <c r="B175" s="32">
        <v>46260.395833333299</v>
      </c>
      <c r="C175" s="17" t="s">
        <v>69</v>
      </c>
      <c r="D175" s="17" t="s">
        <v>377</v>
      </c>
      <c r="E175" s="17" t="s">
        <v>113</v>
      </c>
      <c r="F175" s="17" t="s">
        <v>80</v>
      </c>
      <c r="G175" s="17" t="s">
        <v>17</v>
      </c>
      <c r="H175" s="33">
        <v>20400</v>
      </c>
      <c r="I175" s="32">
        <v>46260.466666666704</v>
      </c>
      <c r="J175" s="34">
        <v>46282</v>
      </c>
      <c r="K175" s="34"/>
      <c r="L175" s="34">
        <v>46282</v>
      </c>
      <c r="M175" s="17"/>
      <c r="N175" s="17">
        <f t="shared" si="8"/>
        <v>1.7</v>
      </c>
      <c r="O175" s="17" t="str">
        <f t="shared" si="9"/>
        <v>Closed</v>
      </c>
      <c r="P175" s="35">
        <f>IF($A175="","",IF($L175&lt;&gt;"",$L175,Settings!$C$3)-INT($B175))</f>
        <v>22</v>
      </c>
      <c r="Q175" s="17" t="str">
        <f>IF($O175&lt;&gt;"Open","",Settings!$C$3-IF($J175&lt;&gt;"",$J175,INT($B175)))</f>
        <v/>
      </c>
      <c r="R175" s="17" t="str">
        <f>IF($A175="","",IF($O175="Closed","Closed",IF($F175="Unassigned","Unassigned",IF(AND($K175&lt;&gt;"",$K175&lt;Settings!$C$3),"Overdue",IF($Q175&gt;=Settings!$C$4,"Inactive","On Track")))))</f>
        <v>Closed</v>
      </c>
      <c r="S175" s="17" t="str">
        <f t="shared" si="10"/>
        <v/>
      </c>
      <c r="T175" s="36">
        <f t="shared" si="11"/>
        <v>46235</v>
      </c>
      <c r="U175" s="33">
        <f>IF(AND($O175="Open",OR(Dashboard!$D$3="All",$F175=Dashboard!$D$3)),$H175+ROW()/100000,0)</f>
        <v>0</v>
      </c>
    </row>
    <row r="176" spans="1:21" x14ac:dyDescent="0.25">
      <c r="A176" s="17" t="s">
        <v>394</v>
      </c>
      <c r="B176" s="32">
        <v>46260.715277777803</v>
      </c>
      <c r="C176" s="17" t="s">
        <v>64</v>
      </c>
      <c r="D176" s="17" t="s">
        <v>377</v>
      </c>
      <c r="E176" s="17" t="s">
        <v>138</v>
      </c>
      <c r="F176" s="17" t="s">
        <v>84</v>
      </c>
      <c r="G176" s="17" t="s">
        <v>18</v>
      </c>
      <c r="H176" s="33">
        <v>28400</v>
      </c>
      <c r="I176" s="32">
        <v>46261.431944444397</v>
      </c>
      <c r="J176" s="34">
        <v>46301</v>
      </c>
      <c r="K176" s="34"/>
      <c r="L176" s="34">
        <v>46301</v>
      </c>
      <c r="M176" s="17" t="s">
        <v>75</v>
      </c>
      <c r="N176" s="17">
        <f t="shared" si="8"/>
        <v>17.2</v>
      </c>
      <c r="O176" s="17" t="str">
        <f t="shared" si="9"/>
        <v>Closed</v>
      </c>
      <c r="P176" s="35">
        <f>IF($A176="","",IF($L176&lt;&gt;"",$L176,Settings!$C$3)-INT($B176))</f>
        <v>41</v>
      </c>
      <c r="Q176" s="17" t="str">
        <f>IF($O176&lt;&gt;"Open","",Settings!$C$3-IF($J176&lt;&gt;"",$J176,INT($B176)))</f>
        <v/>
      </c>
      <c r="R176" s="17" t="str">
        <f>IF($A176="","",IF($O176="Closed","Closed",IF($F176="Unassigned","Unassigned",IF(AND($K176&lt;&gt;"",$K176&lt;Settings!$C$3),"Overdue",IF($Q176&gt;=Settings!$C$4,"Inactive","On Track")))))</f>
        <v>Closed</v>
      </c>
      <c r="S176" s="17" t="str">
        <f t="shared" si="10"/>
        <v/>
      </c>
      <c r="T176" s="36">
        <f t="shared" si="11"/>
        <v>46235</v>
      </c>
      <c r="U176" s="33">
        <f>IF(AND($O176="Open",OR(Dashboard!$D$3="All",$F176=Dashboard!$D$3)),$H176+ROW()/100000,0)</f>
        <v>0</v>
      </c>
    </row>
    <row r="177" spans="1:21" x14ac:dyDescent="0.25">
      <c r="A177" s="17" t="s">
        <v>395</v>
      </c>
      <c r="B177" s="32">
        <v>46261.416666666701</v>
      </c>
      <c r="C177" s="17" t="s">
        <v>65</v>
      </c>
      <c r="D177" s="17" t="s">
        <v>281</v>
      </c>
      <c r="E177" s="17" t="s">
        <v>123</v>
      </c>
      <c r="F177" s="17" t="s">
        <v>82</v>
      </c>
      <c r="G177" s="17" t="s">
        <v>47</v>
      </c>
      <c r="H177" s="33">
        <v>60300</v>
      </c>
      <c r="I177" s="32">
        <v>46261.504166666702</v>
      </c>
      <c r="J177" s="34">
        <v>46309</v>
      </c>
      <c r="K177" s="34">
        <v>46317</v>
      </c>
      <c r="L177" s="34"/>
      <c r="M177" s="17"/>
      <c r="N177" s="17">
        <f t="shared" si="8"/>
        <v>2.1</v>
      </c>
      <c r="O177" s="17" t="str">
        <f t="shared" si="9"/>
        <v>Open</v>
      </c>
      <c r="P177" s="35">
        <f>IF($A177="","",IF($L177&lt;&gt;"",$L177,Settings!$C$3)-INT($B177))</f>
        <v>53</v>
      </c>
      <c r="Q177" s="17">
        <f>IF($O177&lt;&gt;"Open","",Settings!$C$3-IF($J177&lt;&gt;"",$J177,INT($B177)))</f>
        <v>5</v>
      </c>
      <c r="R177" s="17" t="str">
        <f>IF($A177="","",IF($O177="Closed","Closed",IF($F177="Unassigned","Unassigned",IF(AND($K177&lt;&gt;"",$K177&lt;Settings!$C$3),"Overdue",IF($Q177&gt;=Settings!$C$4,"Inactive","On Track")))))</f>
        <v>On Track</v>
      </c>
      <c r="S177" s="17" t="str">
        <f t="shared" si="10"/>
        <v>31-60 days</v>
      </c>
      <c r="T177" s="36">
        <f t="shared" si="11"/>
        <v>46235</v>
      </c>
      <c r="U177" s="33">
        <f>IF(AND($O177="Open",OR(Dashboard!$D$3="All",$F177=Dashboard!$D$3)),$H177+ROW()/100000,0)</f>
        <v>60300.001770000003</v>
      </c>
    </row>
    <row r="178" spans="1:21" x14ac:dyDescent="0.25">
      <c r="A178" s="17" t="s">
        <v>396</v>
      </c>
      <c r="B178" s="32">
        <v>46261.680555555598</v>
      </c>
      <c r="C178" s="17" t="s">
        <v>62</v>
      </c>
      <c r="D178" s="17" t="s">
        <v>118</v>
      </c>
      <c r="E178" s="17" t="s">
        <v>110</v>
      </c>
      <c r="F178" s="17" t="s">
        <v>80</v>
      </c>
      <c r="G178" s="17" t="s">
        <v>18</v>
      </c>
      <c r="H178" s="33">
        <v>64700</v>
      </c>
      <c r="I178" s="32">
        <v>46261.984722222202</v>
      </c>
      <c r="J178" s="34">
        <v>46269</v>
      </c>
      <c r="K178" s="34"/>
      <c r="L178" s="34">
        <v>46269</v>
      </c>
      <c r="M178" s="17" t="s">
        <v>74</v>
      </c>
      <c r="N178" s="17">
        <f t="shared" si="8"/>
        <v>7.3</v>
      </c>
      <c r="O178" s="17" t="str">
        <f t="shared" si="9"/>
        <v>Closed</v>
      </c>
      <c r="P178" s="35">
        <f>IF($A178="","",IF($L178&lt;&gt;"",$L178,Settings!$C$3)-INT($B178))</f>
        <v>8</v>
      </c>
      <c r="Q178" s="17" t="str">
        <f>IF($O178&lt;&gt;"Open","",Settings!$C$3-IF($J178&lt;&gt;"",$J178,INT($B178)))</f>
        <v/>
      </c>
      <c r="R178" s="17" t="str">
        <f>IF($A178="","",IF($O178="Closed","Closed",IF($F178="Unassigned","Unassigned",IF(AND($K178&lt;&gt;"",$K178&lt;Settings!$C$3),"Overdue",IF($Q178&gt;=Settings!$C$4,"Inactive","On Track")))))</f>
        <v>Closed</v>
      </c>
      <c r="S178" s="17" t="str">
        <f t="shared" si="10"/>
        <v/>
      </c>
      <c r="T178" s="36">
        <f t="shared" si="11"/>
        <v>46235</v>
      </c>
      <c r="U178" s="33">
        <f>IF(AND($O178="Open",OR(Dashboard!$D$3="All",$F178=Dashboard!$D$3)),$H178+ROW()/100000,0)</f>
        <v>0</v>
      </c>
    </row>
    <row r="179" spans="1:21" x14ac:dyDescent="0.25">
      <c r="A179" s="17" t="s">
        <v>397</v>
      </c>
      <c r="B179" s="32">
        <v>46262.534722222197</v>
      </c>
      <c r="C179" s="17" t="s">
        <v>65</v>
      </c>
      <c r="D179" s="17" t="s">
        <v>133</v>
      </c>
      <c r="E179" s="17" t="s">
        <v>113</v>
      </c>
      <c r="F179" s="17" t="s">
        <v>83</v>
      </c>
      <c r="G179" s="17" t="s">
        <v>47</v>
      </c>
      <c r="H179" s="33">
        <v>28600</v>
      </c>
      <c r="I179" s="32">
        <v>46262.5805555556</v>
      </c>
      <c r="J179" s="34">
        <v>46312</v>
      </c>
      <c r="K179" s="34">
        <v>46316</v>
      </c>
      <c r="L179" s="34"/>
      <c r="M179" s="17"/>
      <c r="N179" s="17">
        <f t="shared" si="8"/>
        <v>1.1000000000000001</v>
      </c>
      <c r="O179" s="17" t="str">
        <f t="shared" si="9"/>
        <v>Open</v>
      </c>
      <c r="P179" s="35">
        <f>IF($A179="","",IF($L179&lt;&gt;"",$L179,Settings!$C$3)-INT($B179))</f>
        <v>52</v>
      </c>
      <c r="Q179" s="17">
        <f>IF($O179&lt;&gt;"Open","",Settings!$C$3-IF($J179&lt;&gt;"",$J179,INT($B179)))</f>
        <v>2</v>
      </c>
      <c r="R179" s="17" t="str">
        <f>IF($A179="","",IF($O179="Closed","Closed",IF($F179="Unassigned","Unassigned",IF(AND($K179&lt;&gt;"",$K179&lt;Settings!$C$3),"Overdue",IF($Q179&gt;=Settings!$C$4,"Inactive","On Track")))))</f>
        <v>On Track</v>
      </c>
      <c r="S179" s="17" t="str">
        <f t="shared" si="10"/>
        <v>31-60 days</v>
      </c>
      <c r="T179" s="36">
        <f t="shared" si="11"/>
        <v>46235</v>
      </c>
      <c r="U179" s="33">
        <f>IF(AND($O179="Open",OR(Dashboard!$D$3="All",$F179=Dashboard!$D$3)),$H179+ROW()/100000,0)</f>
        <v>28600.001789999998</v>
      </c>
    </row>
    <row r="180" spans="1:21" x14ac:dyDescent="0.25">
      <c r="A180" s="17" t="s">
        <v>398</v>
      </c>
      <c r="B180" s="32">
        <v>46263.381944444503</v>
      </c>
      <c r="C180" s="17" t="s">
        <v>65</v>
      </c>
      <c r="D180" s="17" t="s">
        <v>399</v>
      </c>
      <c r="E180" s="17" t="s">
        <v>116</v>
      </c>
      <c r="F180" s="17" t="s">
        <v>82</v>
      </c>
      <c r="G180" s="17" t="s">
        <v>18</v>
      </c>
      <c r="H180" s="33">
        <v>55400</v>
      </c>
      <c r="I180" s="32">
        <v>46263.765277777798</v>
      </c>
      <c r="J180" s="34">
        <v>46296</v>
      </c>
      <c r="K180" s="34"/>
      <c r="L180" s="34">
        <v>46296</v>
      </c>
      <c r="M180" s="17" t="s">
        <v>74</v>
      </c>
      <c r="N180" s="17">
        <f t="shared" si="8"/>
        <v>9.1999999999999993</v>
      </c>
      <c r="O180" s="17" t="str">
        <f t="shared" si="9"/>
        <v>Closed</v>
      </c>
      <c r="P180" s="35">
        <f>IF($A180="","",IF($L180&lt;&gt;"",$L180,Settings!$C$3)-INT($B180))</f>
        <v>33</v>
      </c>
      <c r="Q180" s="17" t="str">
        <f>IF($O180&lt;&gt;"Open","",Settings!$C$3-IF($J180&lt;&gt;"",$J180,INT($B180)))</f>
        <v/>
      </c>
      <c r="R180" s="17" t="str">
        <f>IF($A180="","",IF($O180="Closed","Closed",IF($F180="Unassigned","Unassigned",IF(AND($K180&lt;&gt;"",$K180&lt;Settings!$C$3),"Overdue",IF($Q180&gt;=Settings!$C$4,"Inactive","On Track")))))</f>
        <v>Closed</v>
      </c>
      <c r="S180" s="17" t="str">
        <f t="shared" si="10"/>
        <v/>
      </c>
      <c r="T180" s="36">
        <f t="shared" si="11"/>
        <v>46235</v>
      </c>
      <c r="U180" s="33">
        <f>IF(AND($O180="Open",OR(Dashboard!$D$3="All",$F180=Dashboard!$D$3)),$H180+ROW()/100000,0)</f>
        <v>0</v>
      </c>
    </row>
    <row r="181" spans="1:21" x14ac:dyDescent="0.25">
      <c r="A181" s="17" t="s">
        <v>400</v>
      </c>
      <c r="B181" s="32">
        <v>46264.395833333299</v>
      </c>
      <c r="C181" s="17" t="s">
        <v>62</v>
      </c>
      <c r="D181" s="17" t="s">
        <v>129</v>
      </c>
      <c r="E181" s="17" t="s">
        <v>116</v>
      </c>
      <c r="F181" s="17" t="s">
        <v>85</v>
      </c>
      <c r="G181" s="17" t="s">
        <v>17</v>
      </c>
      <c r="H181" s="33">
        <v>57400</v>
      </c>
      <c r="I181" s="32">
        <v>46264.612500000003</v>
      </c>
      <c r="J181" s="34">
        <v>46267</v>
      </c>
      <c r="K181" s="34"/>
      <c r="L181" s="34">
        <v>46267</v>
      </c>
      <c r="M181" s="17"/>
      <c r="N181" s="17">
        <f t="shared" si="8"/>
        <v>5.2</v>
      </c>
      <c r="O181" s="17" t="str">
        <f t="shared" si="9"/>
        <v>Closed</v>
      </c>
      <c r="P181" s="35">
        <f>IF($A181="","",IF($L181&lt;&gt;"",$L181,Settings!$C$3)-INT($B181))</f>
        <v>3</v>
      </c>
      <c r="Q181" s="17" t="str">
        <f>IF($O181&lt;&gt;"Open","",Settings!$C$3-IF($J181&lt;&gt;"",$J181,INT($B181)))</f>
        <v/>
      </c>
      <c r="R181" s="17" t="str">
        <f>IF($A181="","",IF($O181="Closed","Closed",IF($F181="Unassigned","Unassigned",IF(AND($K181&lt;&gt;"",$K181&lt;Settings!$C$3),"Overdue",IF($Q181&gt;=Settings!$C$4,"Inactive","On Track")))))</f>
        <v>Closed</v>
      </c>
      <c r="S181" s="17" t="str">
        <f t="shared" si="10"/>
        <v/>
      </c>
      <c r="T181" s="36">
        <f t="shared" si="11"/>
        <v>46235</v>
      </c>
      <c r="U181" s="33">
        <f>IF(AND($O181="Open",OR(Dashboard!$D$3="All",$F181=Dashboard!$D$3)),$H181+ROW()/100000,0)</f>
        <v>0</v>
      </c>
    </row>
    <row r="182" spans="1:21" x14ac:dyDescent="0.25">
      <c r="A182" s="17" t="s">
        <v>401</v>
      </c>
      <c r="B182" s="32">
        <v>46264.513888888898</v>
      </c>
      <c r="C182" s="17" t="s">
        <v>65</v>
      </c>
      <c r="D182" s="17" t="s">
        <v>311</v>
      </c>
      <c r="E182" s="17" t="s">
        <v>113</v>
      </c>
      <c r="F182" s="17" t="s">
        <v>82</v>
      </c>
      <c r="G182" s="17" t="s">
        <v>48</v>
      </c>
      <c r="H182" s="33">
        <v>50300</v>
      </c>
      <c r="I182" s="32">
        <v>46264.663888888899</v>
      </c>
      <c r="J182" s="34">
        <v>46311</v>
      </c>
      <c r="K182" s="34">
        <v>46314</v>
      </c>
      <c r="L182" s="34"/>
      <c r="M182" s="17"/>
      <c r="N182" s="17">
        <f t="shared" si="8"/>
        <v>3.6</v>
      </c>
      <c r="O182" s="17" t="str">
        <f t="shared" si="9"/>
        <v>Open</v>
      </c>
      <c r="P182" s="35">
        <f>IF($A182="","",IF($L182&lt;&gt;"",$L182,Settings!$C$3)-INT($B182))</f>
        <v>50</v>
      </c>
      <c r="Q182" s="17">
        <f>IF($O182&lt;&gt;"Open","",Settings!$C$3-IF($J182&lt;&gt;"",$J182,INT($B182)))</f>
        <v>3</v>
      </c>
      <c r="R182" s="17" t="str">
        <f>IF($A182="","",IF($O182="Closed","Closed",IF($F182="Unassigned","Unassigned",IF(AND($K182&lt;&gt;"",$K182&lt;Settings!$C$3),"Overdue",IF($Q182&gt;=Settings!$C$4,"Inactive","On Track")))))</f>
        <v>On Track</v>
      </c>
      <c r="S182" s="17" t="str">
        <f t="shared" si="10"/>
        <v>31-60 days</v>
      </c>
      <c r="T182" s="36">
        <f t="shared" si="11"/>
        <v>46235</v>
      </c>
      <c r="U182" s="33">
        <f>IF(AND($O182="Open",OR(Dashboard!$D$3="All",$F182=Dashboard!$D$3)),$H182+ROW()/100000,0)</f>
        <v>50300.001819999998</v>
      </c>
    </row>
    <row r="183" spans="1:21" x14ac:dyDescent="0.25">
      <c r="A183" s="17" t="s">
        <v>402</v>
      </c>
      <c r="B183" s="32">
        <v>46264.520833333299</v>
      </c>
      <c r="C183" s="17" t="s">
        <v>68</v>
      </c>
      <c r="D183" s="17" t="s">
        <v>175</v>
      </c>
      <c r="E183" s="17" t="s">
        <v>147</v>
      </c>
      <c r="F183" s="17" t="s">
        <v>83</v>
      </c>
      <c r="G183" s="17" t="s">
        <v>18</v>
      </c>
      <c r="H183" s="33">
        <v>17800</v>
      </c>
      <c r="I183" s="32">
        <v>46264.833333333299</v>
      </c>
      <c r="J183" s="34">
        <v>46288</v>
      </c>
      <c r="K183" s="34"/>
      <c r="L183" s="34">
        <v>46288</v>
      </c>
      <c r="M183" s="17" t="s">
        <v>74</v>
      </c>
      <c r="N183" s="17">
        <f t="shared" si="8"/>
        <v>7.5</v>
      </c>
      <c r="O183" s="17" t="str">
        <f t="shared" si="9"/>
        <v>Closed</v>
      </c>
      <c r="P183" s="35">
        <f>IF($A183="","",IF($L183&lt;&gt;"",$L183,Settings!$C$3)-INT($B183))</f>
        <v>24</v>
      </c>
      <c r="Q183" s="17" t="str">
        <f>IF($O183&lt;&gt;"Open","",Settings!$C$3-IF($J183&lt;&gt;"",$J183,INT($B183)))</f>
        <v/>
      </c>
      <c r="R183" s="17" t="str">
        <f>IF($A183="","",IF($O183="Closed","Closed",IF($F183="Unassigned","Unassigned",IF(AND($K183&lt;&gt;"",$K183&lt;Settings!$C$3),"Overdue",IF($Q183&gt;=Settings!$C$4,"Inactive","On Track")))))</f>
        <v>Closed</v>
      </c>
      <c r="S183" s="17" t="str">
        <f t="shared" si="10"/>
        <v/>
      </c>
      <c r="T183" s="36">
        <f t="shared" si="11"/>
        <v>46235</v>
      </c>
      <c r="U183" s="33">
        <f>IF(AND($O183="Open",OR(Dashboard!$D$3="All",$F183=Dashboard!$D$3)),$H183+ROW()/100000,0)</f>
        <v>0</v>
      </c>
    </row>
    <row r="184" spans="1:21" x14ac:dyDescent="0.25">
      <c r="A184" s="17" t="s">
        <v>403</v>
      </c>
      <c r="B184" s="32">
        <v>46264.680555555598</v>
      </c>
      <c r="C184" s="17" t="s">
        <v>66</v>
      </c>
      <c r="D184" s="17" t="s">
        <v>133</v>
      </c>
      <c r="E184" s="17" t="s">
        <v>147</v>
      </c>
      <c r="F184" s="17" t="s">
        <v>85</v>
      </c>
      <c r="G184" s="17" t="s">
        <v>17</v>
      </c>
      <c r="H184" s="33">
        <v>21000</v>
      </c>
      <c r="I184" s="32">
        <v>46264.855555555601</v>
      </c>
      <c r="J184" s="34">
        <v>46275</v>
      </c>
      <c r="K184" s="34"/>
      <c r="L184" s="34">
        <v>46275</v>
      </c>
      <c r="M184" s="17"/>
      <c r="N184" s="17">
        <f t="shared" si="8"/>
        <v>4.2</v>
      </c>
      <c r="O184" s="17" t="str">
        <f t="shared" si="9"/>
        <v>Closed</v>
      </c>
      <c r="P184" s="35">
        <f>IF($A184="","",IF($L184&lt;&gt;"",$L184,Settings!$C$3)-INT($B184))</f>
        <v>11</v>
      </c>
      <c r="Q184" s="17" t="str">
        <f>IF($O184&lt;&gt;"Open","",Settings!$C$3-IF($J184&lt;&gt;"",$J184,INT($B184)))</f>
        <v/>
      </c>
      <c r="R184" s="17" t="str">
        <f>IF($A184="","",IF($O184="Closed","Closed",IF($F184="Unassigned","Unassigned",IF(AND($K184&lt;&gt;"",$K184&lt;Settings!$C$3),"Overdue",IF($Q184&gt;=Settings!$C$4,"Inactive","On Track")))))</f>
        <v>Closed</v>
      </c>
      <c r="S184" s="17" t="str">
        <f t="shared" si="10"/>
        <v/>
      </c>
      <c r="T184" s="36">
        <f t="shared" si="11"/>
        <v>46235</v>
      </c>
      <c r="U184" s="33">
        <f>IF(AND($O184="Open",OR(Dashboard!$D$3="All",$F184=Dashboard!$D$3)),$H184+ROW()/100000,0)</f>
        <v>0</v>
      </c>
    </row>
    <row r="185" spans="1:21" x14ac:dyDescent="0.25">
      <c r="A185" s="17" t="s">
        <v>404</v>
      </c>
      <c r="B185" s="32">
        <v>46265.569444444503</v>
      </c>
      <c r="C185" s="17" t="s">
        <v>63</v>
      </c>
      <c r="D185" s="17" t="s">
        <v>333</v>
      </c>
      <c r="E185" s="17" t="s">
        <v>116</v>
      </c>
      <c r="F185" s="17" t="s">
        <v>82</v>
      </c>
      <c r="G185" s="17" t="s">
        <v>48</v>
      </c>
      <c r="H185" s="33">
        <v>45500</v>
      </c>
      <c r="I185" s="32">
        <v>46265.840277777803</v>
      </c>
      <c r="J185" s="34">
        <v>46313</v>
      </c>
      <c r="K185" s="34">
        <v>46319</v>
      </c>
      <c r="L185" s="34"/>
      <c r="M185" s="17"/>
      <c r="N185" s="17">
        <f t="shared" si="8"/>
        <v>6.5</v>
      </c>
      <c r="O185" s="17" t="str">
        <f t="shared" si="9"/>
        <v>Open</v>
      </c>
      <c r="P185" s="35">
        <f>IF($A185="","",IF($L185&lt;&gt;"",$L185,Settings!$C$3)-INT($B185))</f>
        <v>49</v>
      </c>
      <c r="Q185" s="17">
        <f>IF($O185&lt;&gt;"Open","",Settings!$C$3-IF($J185&lt;&gt;"",$J185,INT($B185)))</f>
        <v>1</v>
      </c>
      <c r="R185" s="17" t="str">
        <f>IF($A185="","",IF($O185="Closed","Closed",IF($F185="Unassigned","Unassigned",IF(AND($K185&lt;&gt;"",$K185&lt;Settings!$C$3),"Overdue",IF($Q185&gt;=Settings!$C$4,"Inactive","On Track")))))</f>
        <v>On Track</v>
      </c>
      <c r="S185" s="17" t="str">
        <f t="shared" si="10"/>
        <v>31-60 days</v>
      </c>
      <c r="T185" s="36">
        <f t="shared" si="11"/>
        <v>46235</v>
      </c>
      <c r="U185" s="33">
        <f>IF(AND($O185="Open",OR(Dashboard!$D$3="All",$F185=Dashboard!$D$3)),$H185+ROW()/100000,0)</f>
        <v>45500.001850000001</v>
      </c>
    </row>
    <row r="186" spans="1:21" x14ac:dyDescent="0.25">
      <c r="A186" s="17" t="s">
        <v>405</v>
      </c>
      <c r="B186" s="32">
        <v>46266.430555555598</v>
      </c>
      <c r="C186" s="17" t="s">
        <v>67</v>
      </c>
      <c r="D186" s="17" t="s">
        <v>197</v>
      </c>
      <c r="E186" s="17" t="s">
        <v>123</v>
      </c>
      <c r="F186" s="17" t="s">
        <v>80</v>
      </c>
      <c r="G186" s="17" t="s">
        <v>46</v>
      </c>
      <c r="H186" s="33">
        <v>103900</v>
      </c>
      <c r="I186" s="32">
        <v>46266.634722222203</v>
      </c>
      <c r="J186" s="34">
        <v>46306</v>
      </c>
      <c r="K186" s="34">
        <v>46314</v>
      </c>
      <c r="L186" s="34"/>
      <c r="M186" s="17"/>
      <c r="N186" s="17">
        <f t="shared" si="8"/>
        <v>4.9000000000000004</v>
      </c>
      <c r="O186" s="17" t="str">
        <f t="shared" si="9"/>
        <v>Open</v>
      </c>
      <c r="P186" s="35">
        <f>IF($A186="","",IF($L186&lt;&gt;"",$L186,Settings!$C$3)-INT($B186))</f>
        <v>48</v>
      </c>
      <c r="Q186" s="17">
        <f>IF($O186&lt;&gt;"Open","",Settings!$C$3-IF($J186&lt;&gt;"",$J186,INT($B186)))</f>
        <v>8</v>
      </c>
      <c r="R186" s="17" t="str">
        <f>IF($A186="","",IF($O186="Closed","Closed",IF($F186="Unassigned","Unassigned",IF(AND($K186&lt;&gt;"",$K186&lt;Settings!$C$3),"Overdue",IF($Q186&gt;=Settings!$C$4,"Inactive","On Track")))))</f>
        <v>Inactive</v>
      </c>
      <c r="S186" s="17" t="str">
        <f t="shared" si="10"/>
        <v>31-60 days</v>
      </c>
      <c r="T186" s="36">
        <f t="shared" si="11"/>
        <v>46266</v>
      </c>
      <c r="U186" s="33">
        <f>IF(AND($O186="Open",OR(Dashboard!$D$3="All",$F186=Dashboard!$D$3)),$H186+ROW()/100000,0)</f>
        <v>103900.00186</v>
      </c>
    </row>
    <row r="187" spans="1:21" x14ac:dyDescent="0.25">
      <c r="A187" s="17" t="s">
        <v>406</v>
      </c>
      <c r="B187" s="32">
        <v>46266.506944444503</v>
      </c>
      <c r="C187" s="17" t="s">
        <v>64</v>
      </c>
      <c r="D187" s="17" t="s">
        <v>407</v>
      </c>
      <c r="E187" s="17" t="s">
        <v>147</v>
      </c>
      <c r="F187" s="17" t="s">
        <v>80</v>
      </c>
      <c r="G187" s="17" t="s">
        <v>17</v>
      </c>
      <c r="H187" s="33">
        <v>28500</v>
      </c>
      <c r="I187" s="32">
        <v>46266.740277777797</v>
      </c>
      <c r="J187" s="34">
        <v>46269</v>
      </c>
      <c r="K187" s="34"/>
      <c r="L187" s="34">
        <v>46269</v>
      </c>
      <c r="M187" s="17"/>
      <c r="N187" s="17">
        <f t="shared" si="8"/>
        <v>5.6</v>
      </c>
      <c r="O187" s="17" t="str">
        <f t="shared" si="9"/>
        <v>Closed</v>
      </c>
      <c r="P187" s="35">
        <f>IF($A187="","",IF($L187&lt;&gt;"",$L187,Settings!$C$3)-INT($B187))</f>
        <v>3</v>
      </c>
      <c r="Q187" s="17" t="str">
        <f>IF($O187&lt;&gt;"Open","",Settings!$C$3-IF($J187&lt;&gt;"",$J187,INT($B187)))</f>
        <v/>
      </c>
      <c r="R187" s="17" t="str">
        <f>IF($A187="","",IF($O187="Closed","Closed",IF($F187="Unassigned","Unassigned",IF(AND($K187&lt;&gt;"",$K187&lt;Settings!$C$3),"Overdue",IF($Q187&gt;=Settings!$C$4,"Inactive","On Track")))))</f>
        <v>Closed</v>
      </c>
      <c r="S187" s="17" t="str">
        <f t="shared" si="10"/>
        <v/>
      </c>
      <c r="T187" s="36">
        <f t="shared" si="11"/>
        <v>46266</v>
      </c>
      <c r="U187" s="33">
        <f>IF(AND($O187="Open",OR(Dashboard!$D$3="All",$F187=Dashboard!$D$3)),$H187+ROW()/100000,0)</f>
        <v>0</v>
      </c>
    </row>
    <row r="188" spans="1:21" x14ac:dyDescent="0.25">
      <c r="A188" s="17" t="s">
        <v>408</v>
      </c>
      <c r="B188" s="32">
        <v>46266.506944444503</v>
      </c>
      <c r="C188" s="17" t="s">
        <v>63</v>
      </c>
      <c r="D188" s="17" t="s">
        <v>203</v>
      </c>
      <c r="E188" s="17" t="s">
        <v>113</v>
      </c>
      <c r="F188" s="17" t="s">
        <v>81</v>
      </c>
      <c r="G188" s="17" t="s">
        <v>18</v>
      </c>
      <c r="H188" s="33">
        <v>9200</v>
      </c>
      <c r="I188" s="32">
        <v>46266.840277777803</v>
      </c>
      <c r="J188" s="34">
        <v>46275</v>
      </c>
      <c r="K188" s="34"/>
      <c r="L188" s="34">
        <v>46275</v>
      </c>
      <c r="M188" s="17" t="s">
        <v>74</v>
      </c>
      <c r="N188" s="17">
        <f t="shared" si="8"/>
        <v>8</v>
      </c>
      <c r="O188" s="17" t="str">
        <f t="shared" si="9"/>
        <v>Closed</v>
      </c>
      <c r="P188" s="35">
        <f>IF($A188="","",IF($L188&lt;&gt;"",$L188,Settings!$C$3)-INT($B188))</f>
        <v>9</v>
      </c>
      <c r="Q188" s="17" t="str">
        <f>IF($O188&lt;&gt;"Open","",Settings!$C$3-IF($J188&lt;&gt;"",$J188,INT($B188)))</f>
        <v/>
      </c>
      <c r="R188" s="17" t="str">
        <f>IF($A188="","",IF($O188="Closed","Closed",IF($F188="Unassigned","Unassigned",IF(AND($K188&lt;&gt;"",$K188&lt;Settings!$C$3),"Overdue",IF($Q188&gt;=Settings!$C$4,"Inactive","On Track")))))</f>
        <v>Closed</v>
      </c>
      <c r="S188" s="17" t="str">
        <f t="shared" si="10"/>
        <v/>
      </c>
      <c r="T188" s="36">
        <f t="shared" si="11"/>
        <v>46266</v>
      </c>
      <c r="U188" s="33">
        <f>IF(AND($O188="Open",OR(Dashboard!$D$3="All",$F188=Dashboard!$D$3)),$H188+ROW()/100000,0)</f>
        <v>0</v>
      </c>
    </row>
    <row r="189" spans="1:21" x14ac:dyDescent="0.25">
      <c r="A189" s="17" t="s">
        <v>409</v>
      </c>
      <c r="B189" s="32">
        <v>46266.715277777803</v>
      </c>
      <c r="C189" s="17" t="s">
        <v>65</v>
      </c>
      <c r="D189" s="17" t="s">
        <v>318</v>
      </c>
      <c r="E189" s="17" t="s">
        <v>116</v>
      </c>
      <c r="F189" s="17" t="s">
        <v>85</v>
      </c>
      <c r="G189" s="17" t="s">
        <v>17</v>
      </c>
      <c r="H189" s="33">
        <v>25600</v>
      </c>
      <c r="I189" s="32">
        <v>46266.9194444444</v>
      </c>
      <c r="J189" s="34">
        <v>46285</v>
      </c>
      <c r="K189" s="34"/>
      <c r="L189" s="34">
        <v>46285</v>
      </c>
      <c r="M189" s="17"/>
      <c r="N189" s="17">
        <f t="shared" si="8"/>
        <v>4.9000000000000004</v>
      </c>
      <c r="O189" s="17" t="str">
        <f t="shared" si="9"/>
        <v>Closed</v>
      </c>
      <c r="P189" s="35">
        <f>IF($A189="","",IF($L189&lt;&gt;"",$L189,Settings!$C$3)-INT($B189))</f>
        <v>19</v>
      </c>
      <c r="Q189" s="17" t="str">
        <f>IF($O189&lt;&gt;"Open","",Settings!$C$3-IF($J189&lt;&gt;"",$J189,INT($B189)))</f>
        <v/>
      </c>
      <c r="R189" s="17" t="str">
        <f>IF($A189="","",IF($O189="Closed","Closed",IF($F189="Unassigned","Unassigned",IF(AND($K189&lt;&gt;"",$K189&lt;Settings!$C$3),"Overdue",IF($Q189&gt;=Settings!$C$4,"Inactive","On Track")))))</f>
        <v>Closed</v>
      </c>
      <c r="S189" s="17" t="str">
        <f t="shared" si="10"/>
        <v/>
      </c>
      <c r="T189" s="36">
        <f t="shared" si="11"/>
        <v>46266</v>
      </c>
      <c r="U189" s="33">
        <f>IF(AND($O189="Open",OR(Dashboard!$D$3="All",$F189=Dashboard!$D$3)),$H189+ROW()/100000,0)</f>
        <v>0</v>
      </c>
    </row>
    <row r="190" spans="1:21" x14ac:dyDescent="0.25">
      <c r="A190" s="17" t="s">
        <v>410</v>
      </c>
      <c r="B190" s="32">
        <v>46268.479166666701</v>
      </c>
      <c r="C190" s="17" t="s">
        <v>68</v>
      </c>
      <c r="D190" s="17" t="s">
        <v>129</v>
      </c>
      <c r="E190" s="17" t="s">
        <v>113</v>
      </c>
      <c r="F190" s="17" t="s">
        <v>83</v>
      </c>
      <c r="G190" s="17" t="s">
        <v>48</v>
      </c>
      <c r="H190" s="33">
        <v>19500</v>
      </c>
      <c r="I190" s="32">
        <v>46268.779166666704</v>
      </c>
      <c r="J190" s="34">
        <v>46306</v>
      </c>
      <c r="K190" s="34">
        <v>46315</v>
      </c>
      <c r="L190" s="34"/>
      <c r="M190" s="17"/>
      <c r="N190" s="17">
        <f t="shared" si="8"/>
        <v>7.2</v>
      </c>
      <c r="O190" s="17" t="str">
        <f t="shared" si="9"/>
        <v>Open</v>
      </c>
      <c r="P190" s="35">
        <f>IF($A190="","",IF($L190&lt;&gt;"",$L190,Settings!$C$3)-INT($B190))</f>
        <v>46</v>
      </c>
      <c r="Q190" s="17">
        <f>IF($O190&lt;&gt;"Open","",Settings!$C$3-IF($J190&lt;&gt;"",$J190,INT($B190)))</f>
        <v>8</v>
      </c>
      <c r="R190" s="17" t="str">
        <f>IF($A190="","",IF($O190="Closed","Closed",IF($F190="Unassigned","Unassigned",IF(AND($K190&lt;&gt;"",$K190&lt;Settings!$C$3),"Overdue",IF($Q190&gt;=Settings!$C$4,"Inactive","On Track")))))</f>
        <v>Inactive</v>
      </c>
      <c r="S190" s="17" t="str">
        <f t="shared" si="10"/>
        <v>31-60 days</v>
      </c>
      <c r="T190" s="36">
        <f t="shared" si="11"/>
        <v>46266</v>
      </c>
      <c r="U190" s="33">
        <f>IF(AND($O190="Open",OR(Dashboard!$D$3="All",$F190=Dashboard!$D$3)),$H190+ROW()/100000,0)</f>
        <v>19500.001899999999</v>
      </c>
    </row>
    <row r="191" spans="1:21" x14ac:dyDescent="0.25">
      <c r="A191" s="17" t="s">
        <v>411</v>
      </c>
      <c r="B191" s="32">
        <v>46268.486111111102</v>
      </c>
      <c r="C191" s="17" t="s">
        <v>63</v>
      </c>
      <c r="D191" s="17" t="s">
        <v>247</v>
      </c>
      <c r="E191" s="17" t="s">
        <v>113</v>
      </c>
      <c r="F191" s="17" t="s">
        <v>83</v>
      </c>
      <c r="G191" s="17" t="s">
        <v>48</v>
      </c>
      <c r="H191" s="33">
        <v>38900</v>
      </c>
      <c r="I191" s="32">
        <v>46268.661111111098</v>
      </c>
      <c r="J191" s="34">
        <v>46289</v>
      </c>
      <c r="K191" s="34">
        <v>46292</v>
      </c>
      <c r="L191" s="34"/>
      <c r="M191" s="17"/>
      <c r="N191" s="17">
        <f t="shared" si="8"/>
        <v>4.2</v>
      </c>
      <c r="O191" s="17" t="str">
        <f t="shared" si="9"/>
        <v>Open</v>
      </c>
      <c r="P191" s="35">
        <f>IF($A191="","",IF($L191&lt;&gt;"",$L191,Settings!$C$3)-INT($B191))</f>
        <v>46</v>
      </c>
      <c r="Q191" s="17">
        <f>IF($O191&lt;&gt;"Open","",Settings!$C$3-IF($J191&lt;&gt;"",$J191,INT($B191)))</f>
        <v>25</v>
      </c>
      <c r="R191" s="17" t="str">
        <f>IF($A191="","",IF($O191="Closed","Closed",IF($F191="Unassigned","Unassigned",IF(AND($K191&lt;&gt;"",$K191&lt;Settings!$C$3),"Overdue",IF($Q191&gt;=Settings!$C$4,"Inactive","On Track")))))</f>
        <v>Overdue</v>
      </c>
      <c r="S191" s="17" t="str">
        <f t="shared" si="10"/>
        <v>31-60 days</v>
      </c>
      <c r="T191" s="36">
        <f t="shared" si="11"/>
        <v>46266</v>
      </c>
      <c r="U191" s="33">
        <f>IF(AND($O191="Open",OR(Dashboard!$D$3="All",$F191=Dashboard!$D$3)),$H191+ROW()/100000,0)</f>
        <v>38900.001909999999</v>
      </c>
    </row>
    <row r="192" spans="1:21" x14ac:dyDescent="0.25">
      <c r="A192" s="17" t="s">
        <v>412</v>
      </c>
      <c r="B192" s="32">
        <v>46268.527777777803</v>
      </c>
      <c r="C192" s="17" t="s">
        <v>66</v>
      </c>
      <c r="D192" s="17" t="s">
        <v>407</v>
      </c>
      <c r="E192" s="17" t="s">
        <v>113</v>
      </c>
      <c r="F192" s="17" t="s">
        <v>83</v>
      </c>
      <c r="G192" s="17" t="s">
        <v>48</v>
      </c>
      <c r="H192" s="33">
        <v>40200</v>
      </c>
      <c r="I192" s="32">
        <v>46268.615277777797</v>
      </c>
      <c r="J192" s="34">
        <v>46313</v>
      </c>
      <c r="K192" s="34">
        <v>46317</v>
      </c>
      <c r="L192" s="34"/>
      <c r="M192" s="17"/>
      <c r="N192" s="17">
        <f t="shared" si="8"/>
        <v>2.1</v>
      </c>
      <c r="O192" s="17" t="str">
        <f t="shared" si="9"/>
        <v>Open</v>
      </c>
      <c r="P192" s="35">
        <f>IF($A192="","",IF($L192&lt;&gt;"",$L192,Settings!$C$3)-INT($B192))</f>
        <v>46</v>
      </c>
      <c r="Q192" s="17">
        <f>IF($O192&lt;&gt;"Open","",Settings!$C$3-IF($J192&lt;&gt;"",$J192,INT($B192)))</f>
        <v>1</v>
      </c>
      <c r="R192" s="17" t="str">
        <f>IF($A192="","",IF($O192="Closed","Closed",IF($F192="Unassigned","Unassigned",IF(AND($K192&lt;&gt;"",$K192&lt;Settings!$C$3),"Overdue",IF($Q192&gt;=Settings!$C$4,"Inactive","On Track")))))</f>
        <v>On Track</v>
      </c>
      <c r="S192" s="17" t="str">
        <f t="shared" si="10"/>
        <v>31-60 days</v>
      </c>
      <c r="T192" s="36">
        <f t="shared" si="11"/>
        <v>46266</v>
      </c>
      <c r="U192" s="33">
        <f>IF(AND($O192="Open",OR(Dashboard!$D$3="All",$F192=Dashboard!$D$3)),$H192+ROW()/100000,0)</f>
        <v>40200.001920000002</v>
      </c>
    </row>
    <row r="193" spans="1:21" x14ac:dyDescent="0.25">
      <c r="A193" s="17" t="s">
        <v>413</v>
      </c>
      <c r="B193" s="32">
        <v>46270.548611111102</v>
      </c>
      <c r="C193" s="17" t="s">
        <v>68</v>
      </c>
      <c r="D193" s="17" t="s">
        <v>287</v>
      </c>
      <c r="E193" s="17" t="s">
        <v>138</v>
      </c>
      <c r="F193" s="17" t="s">
        <v>85</v>
      </c>
      <c r="G193" s="17" t="s">
        <v>48</v>
      </c>
      <c r="H193" s="33">
        <v>371900</v>
      </c>
      <c r="I193" s="32">
        <v>46270.923611111102</v>
      </c>
      <c r="J193" s="34">
        <v>46306</v>
      </c>
      <c r="K193" s="34">
        <v>46309</v>
      </c>
      <c r="L193" s="34"/>
      <c r="M193" s="17"/>
      <c r="N193" s="17">
        <f t="shared" si="8"/>
        <v>9</v>
      </c>
      <c r="O193" s="17" t="str">
        <f t="shared" si="9"/>
        <v>Open</v>
      </c>
      <c r="P193" s="35">
        <f>IF($A193="","",IF($L193&lt;&gt;"",$L193,Settings!$C$3)-INT($B193))</f>
        <v>44</v>
      </c>
      <c r="Q193" s="17">
        <f>IF($O193&lt;&gt;"Open","",Settings!$C$3-IF($J193&lt;&gt;"",$J193,INT($B193)))</f>
        <v>8</v>
      </c>
      <c r="R193" s="17" t="str">
        <f>IF($A193="","",IF($O193="Closed","Closed",IF($F193="Unassigned","Unassigned",IF(AND($K193&lt;&gt;"",$K193&lt;Settings!$C$3),"Overdue",IF($Q193&gt;=Settings!$C$4,"Inactive","On Track")))))</f>
        <v>Overdue</v>
      </c>
      <c r="S193" s="17" t="str">
        <f t="shared" si="10"/>
        <v>31-60 days</v>
      </c>
      <c r="T193" s="36">
        <f t="shared" si="11"/>
        <v>46266</v>
      </c>
      <c r="U193" s="33">
        <f>IF(AND($O193="Open",OR(Dashboard!$D$3="All",$F193=Dashboard!$D$3)),$H193+ROW()/100000,0)</f>
        <v>371900.00193000003</v>
      </c>
    </row>
    <row r="194" spans="1:21" x14ac:dyDescent="0.25">
      <c r="A194" s="17" t="s">
        <v>414</v>
      </c>
      <c r="B194" s="32">
        <v>46271.444444444503</v>
      </c>
      <c r="C194" s="17" t="s">
        <v>68</v>
      </c>
      <c r="D194" s="17" t="s">
        <v>249</v>
      </c>
      <c r="E194" s="17" t="s">
        <v>116</v>
      </c>
      <c r="F194" s="17" t="s">
        <v>84</v>
      </c>
      <c r="G194" s="17" t="s">
        <v>18</v>
      </c>
      <c r="H194" s="33">
        <v>62900</v>
      </c>
      <c r="I194" s="32">
        <v>46271.586111111101</v>
      </c>
      <c r="J194" s="34">
        <v>46302</v>
      </c>
      <c r="K194" s="34"/>
      <c r="L194" s="34">
        <v>46302</v>
      </c>
      <c r="M194" s="17" t="s">
        <v>78</v>
      </c>
      <c r="N194" s="17">
        <f t="shared" ref="N194:N257" si="12">IF(OR($A194="",$I194=""),"",ROUND(($I194-$B194)*24,1))</f>
        <v>3.4</v>
      </c>
      <c r="O194" s="17" t="str">
        <f t="shared" ref="O194:O257" si="13">IF($A194="","",IF(OR($G194="Won",$G194="Lost"),"Closed","Open"))</f>
        <v>Closed</v>
      </c>
      <c r="P194" s="35">
        <f>IF($A194="","",IF($L194&lt;&gt;"",$L194,Settings!$C$3)-INT($B194))</f>
        <v>31</v>
      </c>
      <c r="Q194" s="17" t="str">
        <f>IF($O194&lt;&gt;"Open","",Settings!$C$3-IF($J194&lt;&gt;"",$J194,INT($B194)))</f>
        <v/>
      </c>
      <c r="R194" s="17" t="str">
        <f>IF($A194="","",IF($O194="Closed","Closed",IF($F194="Unassigned","Unassigned",IF(AND($K194&lt;&gt;"",$K194&lt;Settings!$C$3),"Overdue",IF($Q194&gt;=Settings!$C$4,"Inactive","On Track")))))</f>
        <v>Closed</v>
      </c>
      <c r="S194" s="17" t="str">
        <f t="shared" ref="S194:S257" si="14">IF($O194&lt;&gt;"Open","",IF($P194&lt;=7,"0-7 days",IF($P194&lt;=15,"8-15 days",IF($P194&lt;=30,"16-30 days",IF($P194&lt;=60,"31-60 days","60+ days")))))</f>
        <v/>
      </c>
      <c r="T194" s="36">
        <f t="shared" ref="T194:T257" si="15">IF($A194="","",DATE(YEAR($B194),MONTH($B194),1))</f>
        <v>46266</v>
      </c>
      <c r="U194" s="33">
        <f>IF(AND($O194="Open",OR(Dashboard!$D$3="All",$F194=Dashboard!$D$3)),$H194+ROW()/100000,0)</f>
        <v>0</v>
      </c>
    </row>
    <row r="195" spans="1:21" x14ac:dyDescent="0.25">
      <c r="A195" s="17" t="s">
        <v>415</v>
      </c>
      <c r="B195" s="32">
        <v>46271.520833333299</v>
      </c>
      <c r="C195" s="17" t="s">
        <v>63</v>
      </c>
      <c r="D195" s="17" t="s">
        <v>199</v>
      </c>
      <c r="E195" s="17" t="s">
        <v>138</v>
      </c>
      <c r="F195" s="17" t="s">
        <v>82</v>
      </c>
      <c r="G195" s="17" t="s">
        <v>47</v>
      </c>
      <c r="H195" s="33">
        <v>10900</v>
      </c>
      <c r="I195" s="32">
        <v>46272.291666666701</v>
      </c>
      <c r="J195" s="34">
        <v>46311</v>
      </c>
      <c r="K195" s="34">
        <v>46320</v>
      </c>
      <c r="L195" s="34"/>
      <c r="M195" s="17"/>
      <c r="N195" s="17">
        <f t="shared" si="12"/>
        <v>18.5</v>
      </c>
      <c r="O195" s="17" t="str">
        <f t="shared" si="13"/>
        <v>Open</v>
      </c>
      <c r="P195" s="35">
        <f>IF($A195="","",IF($L195&lt;&gt;"",$L195,Settings!$C$3)-INT($B195))</f>
        <v>43</v>
      </c>
      <c r="Q195" s="17">
        <f>IF($O195&lt;&gt;"Open","",Settings!$C$3-IF($J195&lt;&gt;"",$J195,INT($B195)))</f>
        <v>3</v>
      </c>
      <c r="R195" s="17" t="str">
        <f>IF($A195="","",IF($O195="Closed","Closed",IF($F195="Unassigned","Unassigned",IF(AND($K195&lt;&gt;"",$K195&lt;Settings!$C$3),"Overdue",IF($Q195&gt;=Settings!$C$4,"Inactive","On Track")))))</f>
        <v>On Track</v>
      </c>
      <c r="S195" s="17" t="str">
        <f t="shared" si="14"/>
        <v>31-60 days</v>
      </c>
      <c r="T195" s="36">
        <f t="shared" si="15"/>
        <v>46266</v>
      </c>
      <c r="U195" s="33">
        <f>IF(AND($O195="Open",OR(Dashboard!$D$3="All",$F195=Dashboard!$D$3)),$H195+ROW()/100000,0)</f>
        <v>10900.00195</v>
      </c>
    </row>
    <row r="196" spans="1:21" x14ac:dyDescent="0.25">
      <c r="A196" s="17" t="s">
        <v>416</v>
      </c>
      <c r="B196" s="32">
        <v>46271.701388888898</v>
      </c>
      <c r="C196" s="17" t="s">
        <v>63</v>
      </c>
      <c r="D196" s="17" t="s">
        <v>169</v>
      </c>
      <c r="E196" s="17" t="s">
        <v>147</v>
      </c>
      <c r="F196" s="17" t="s">
        <v>81</v>
      </c>
      <c r="G196" s="17" t="s">
        <v>48</v>
      </c>
      <c r="H196" s="33">
        <v>12100</v>
      </c>
      <c r="I196" s="32">
        <v>46271.793055555601</v>
      </c>
      <c r="J196" s="34">
        <v>46309</v>
      </c>
      <c r="K196" s="34">
        <v>46318</v>
      </c>
      <c r="L196" s="34"/>
      <c r="M196" s="17"/>
      <c r="N196" s="17">
        <f t="shared" si="12"/>
        <v>2.2000000000000002</v>
      </c>
      <c r="O196" s="17" t="str">
        <f t="shared" si="13"/>
        <v>Open</v>
      </c>
      <c r="P196" s="35">
        <f>IF($A196="","",IF($L196&lt;&gt;"",$L196,Settings!$C$3)-INT($B196))</f>
        <v>43</v>
      </c>
      <c r="Q196" s="17">
        <f>IF($O196&lt;&gt;"Open","",Settings!$C$3-IF($J196&lt;&gt;"",$J196,INT($B196)))</f>
        <v>5</v>
      </c>
      <c r="R196" s="17" t="str">
        <f>IF($A196="","",IF($O196="Closed","Closed",IF($F196="Unassigned","Unassigned",IF(AND($K196&lt;&gt;"",$K196&lt;Settings!$C$3),"Overdue",IF($Q196&gt;=Settings!$C$4,"Inactive","On Track")))))</f>
        <v>On Track</v>
      </c>
      <c r="S196" s="17" t="str">
        <f t="shared" si="14"/>
        <v>31-60 days</v>
      </c>
      <c r="T196" s="36">
        <f t="shared" si="15"/>
        <v>46266</v>
      </c>
      <c r="U196" s="33">
        <f>IF(AND($O196="Open",OR(Dashboard!$D$3="All",$F196=Dashboard!$D$3)),$H196+ROW()/100000,0)</f>
        <v>12100.00196</v>
      </c>
    </row>
    <row r="197" spans="1:21" x14ac:dyDescent="0.25">
      <c r="A197" s="17" t="s">
        <v>417</v>
      </c>
      <c r="B197" s="32">
        <v>46271.722222222197</v>
      </c>
      <c r="C197" s="17" t="s">
        <v>63</v>
      </c>
      <c r="D197" s="17" t="s">
        <v>418</v>
      </c>
      <c r="E197" s="17" t="s">
        <v>123</v>
      </c>
      <c r="F197" s="17" t="s">
        <v>84</v>
      </c>
      <c r="G197" s="17" t="s">
        <v>18</v>
      </c>
      <c r="H197" s="33">
        <v>8800</v>
      </c>
      <c r="I197" s="32">
        <v>46271.838888888902</v>
      </c>
      <c r="J197" s="34">
        <v>46276</v>
      </c>
      <c r="K197" s="34"/>
      <c r="L197" s="34">
        <v>46276</v>
      </c>
      <c r="M197" s="17" t="s">
        <v>73</v>
      </c>
      <c r="N197" s="17">
        <f t="shared" si="12"/>
        <v>2.8</v>
      </c>
      <c r="O197" s="17" t="str">
        <f t="shared" si="13"/>
        <v>Closed</v>
      </c>
      <c r="P197" s="35">
        <f>IF($A197="","",IF($L197&lt;&gt;"",$L197,Settings!$C$3)-INT($B197))</f>
        <v>5</v>
      </c>
      <c r="Q197" s="17" t="str">
        <f>IF($O197&lt;&gt;"Open","",Settings!$C$3-IF($J197&lt;&gt;"",$J197,INT($B197)))</f>
        <v/>
      </c>
      <c r="R197" s="17" t="str">
        <f>IF($A197="","",IF($O197="Closed","Closed",IF($F197="Unassigned","Unassigned",IF(AND($K197&lt;&gt;"",$K197&lt;Settings!$C$3),"Overdue",IF($Q197&gt;=Settings!$C$4,"Inactive","On Track")))))</f>
        <v>Closed</v>
      </c>
      <c r="S197" s="17" t="str">
        <f t="shared" si="14"/>
        <v/>
      </c>
      <c r="T197" s="36">
        <f t="shared" si="15"/>
        <v>46266</v>
      </c>
      <c r="U197" s="33">
        <f>IF(AND($O197="Open",OR(Dashboard!$D$3="All",$F197=Dashboard!$D$3)),$H197+ROW()/100000,0)</f>
        <v>0</v>
      </c>
    </row>
    <row r="198" spans="1:21" x14ac:dyDescent="0.25">
      <c r="A198" s="17" t="s">
        <v>419</v>
      </c>
      <c r="B198" s="32">
        <v>46272.388888888898</v>
      </c>
      <c r="C198" s="17" t="s">
        <v>66</v>
      </c>
      <c r="D198" s="17" t="s">
        <v>181</v>
      </c>
      <c r="E198" s="17" t="s">
        <v>113</v>
      </c>
      <c r="F198" s="17" t="s">
        <v>81</v>
      </c>
      <c r="G198" s="17" t="s">
        <v>17</v>
      </c>
      <c r="H198" s="33">
        <v>61000</v>
      </c>
      <c r="I198" s="32">
        <v>46272.793055555601</v>
      </c>
      <c r="J198" s="34">
        <v>46302</v>
      </c>
      <c r="K198" s="34"/>
      <c r="L198" s="34">
        <v>46302</v>
      </c>
      <c r="M198" s="17"/>
      <c r="N198" s="17">
        <f t="shared" si="12"/>
        <v>9.6999999999999993</v>
      </c>
      <c r="O198" s="17" t="str">
        <f t="shared" si="13"/>
        <v>Closed</v>
      </c>
      <c r="P198" s="35">
        <f>IF($A198="","",IF($L198&lt;&gt;"",$L198,Settings!$C$3)-INT($B198))</f>
        <v>30</v>
      </c>
      <c r="Q198" s="17" t="str">
        <f>IF($O198&lt;&gt;"Open","",Settings!$C$3-IF($J198&lt;&gt;"",$J198,INT($B198)))</f>
        <v/>
      </c>
      <c r="R198" s="17" t="str">
        <f>IF($A198="","",IF($O198="Closed","Closed",IF($F198="Unassigned","Unassigned",IF(AND($K198&lt;&gt;"",$K198&lt;Settings!$C$3),"Overdue",IF($Q198&gt;=Settings!$C$4,"Inactive","On Track")))))</f>
        <v>Closed</v>
      </c>
      <c r="S198" s="17" t="str">
        <f t="shared" si="14"/>
        <v/>
      </c>
      <c r="T198" s="36">
        <f t="shared" si="15"/>
        <v>46266</v>
      </c>
      <c r="U198" s="33">
        <f>IF(AND($O198="Open",OR(Dashboard!$D$3="All",$F198=Dashboard!$D$3)),$H198+ROW()/100000,0)</f>
        <v>0</v>
      </c>
    </row>
    <row r="199" spans="1:21" x14ac:dyDescent="0.25">
      <c r="A199" s="17" t="s">
        <v>420</v>
      </c>
      <c r="B199" s="32">
        <v>46272.479166666701</v>
      </c>
      <c r="C199" s="17" t="s">
        <v>66</v>
      </c>
      <c r="D199" s="17" t="s">
        <v>241</v>
      </c>
      <c r="E199" s="17" t="s">
        <v>138</v>
      </c>
      <c r="F199" s="17" t="s">
        <v>80</v>
      </c>
      <c r="G199" s="17" t="s">
        <v>18</v>
      </c>
      <c r="H199" s="33">
        <v>14200</v>
      </c>
      <c r="I199" s="32">
        <v>46272.787499999999</v>
      </c>
      <c r="J199" s="34">
        <v>46284</v>
      </c>
      <c r="K199" s="34"/>
      <c r="L199" s="34">
        <v>46284</v>
      </c>
      <c r="M199" s="17" t="s">
        <v>76</v>
      </c>
      <c r="N199" s="17">
        <f t="shared" si="12"/>
        <v>7.4</v>
      </c>
      <c r="O199" s="17" t="str">
        <f t="shared" si="13"/>
        <v>Closed</v>
      </c>
      <c r="P199" s="35">
        <f>IF($A199="","",IF($L199&lt;&gt;"",$L199,Settings!$C$3)-INT($B199))</f>
        <v>12</v>
      </c>
      <c r="Q199" s="17" t="str">
        <f>IF($O199&lt;&gt;"Open","",Settings!$C$3-IF($J199&lt;&gt;"",$J199,INT($B199)))</f>
        <v/>
      </c>
      <c r="R199" s="17" t="str">
        <f>IF($A199="","",IF($O199="Closed","Closed",IF($F199="Unassigned","Unassigned",IF(AND($K199&lt;&gt;"",$K199&lt;Settings!$C$3),"Overdue",IF($Q199&gt;=Settings!$C$4,"Inactive","On Track")))))</f>
        <v>Closed</v>
      </c>
      <c r="S199" s="17" t="str">
        <f t="shared" si="14"/>
        <v/>
      </c>
      <c r="T199" s="36">
        <f t="shared" si="15"/>
        <v>46266</v>
      </c>
      <c r="U199" s="33">
        <f>IF(AND($O199="Open",OR(Dashboard!$D$3="All",$F199=Dashboard!$D$3)),$H199+ROW()/100000,0)</f>
        <v>0</v>
      </c>
    </row>
    <row r="200" spans="1:21" x14ac:dyDescent="0.25">
      <c r="A200" s="17" t="s">
        <v>421</v>
      </c>
      <c r="B200" s="32">
        <v>46272.548611111102</v>
      </c>
      <c r="C200" s="17" t="s">
        <v>64</v>
      </c>
      <c r="D200" s="17" t="s">
        <v>197</v>
      </c>
      <c r="E200" s="17" t="s">
        <v>116</v>
      </c>
      <c r="F200" s="17" t="s">
        <v>83</v>
      </c>
      <c r="G200" s="17" t="s">
        <v>47</v>
      </c>
      <c r="H200" s="33">
        <v>21800</v>
      </c>
      <c r="I200" s="32">
        <v>46272.690277777801</v>
      </c>
      <c r="J200" s="34">
        <v>46289</v>
      </c>
      <c r="K200" s="34">
        <v>46291</v>
      </c>
      <c r="L200" s="34"/>
      <c r="M200" s="17"/>
      <c r="N200" s="17">
        <f t="shared" si="12"/>
        <v>3.4</v>
      </c>
      <c r="O200" s="17" t="str">
        <f t="shared" si="13"/>
        <v>Open</v>
      </c>
      <c r="P200" s="35">
        <f>IF($A200="","",IF($L200&lt;&gt;"",$L200,Settings!$C$3)-INT($B200))</f>
        <v>42</v>
      </c>
      <c r="Q200" s="17">
        <f>IF($O200&lt;&gt;"Open","",Settings!$C$3-IF($J200&lt;&gt;"",$J200,INT($B200)))</f>
        <v>25</v>
      </c>
      <c r="R200" s="17" t="str">
        <f>IF($A200="","",IF($O200="Closed","Closed",IF($F200="Unassigned","Unassigned",IF(AND($K200&lt;&gt;"",$K200&lt;Settings!$C$3),"Overdue",IF($Q200&gt;=Settings!$C$4,"Inactive","On Track")))))</f>
        <v>Overdue</v>
      </c>
      <c r="S200" s="17" t="str">
        <f t="shared" si="14"/>
        <v>31-60 days</v>
      </c>
      <c r="T200" s="36">
        <f t="shared" si="15"/>
        <v>46266</v>
      </c>
      <c r="U200" s="33">
        <f>IF(AND($O200="Open",OR(Dashboard!$D$3="All",$F200=Dashboard!$D$3)),$H200+ROW()/100000,0)</f>
        <v>21800.002</v>
      </c>
    </row>
    <row r="201" spans="1:21" x14ac:dyDescent="0.25">
      <c r="A201" s="17" t="s">
        <v>422</v>
      </c>
      <c r="B201" s="32">
        <v>46273.555555555598</v>
      </c>
      <c r="C201" s="17" t="s">
        <v>64</v>
      </c>
      <c r="D201" s="17" t="s">
        <v>157</v>
      </c>
      <c r="E201" s="17" t="s">
        <v>147</v>
      </c>
      <c r="F201" s="17" t="s">
        <v>85</v>
      </c>
      <c r="G201" s="17" t="s">
        <v>17</v>
      </c>
      <c r="H201" s="33">
        <v>20100</v>
      </c>
      <c r="I201" s="32">
        <v>46273.726388888899</v>
      </c>
      <c r="J201" s="34">
        <v>46281</v>
      </c>
      <c r="K201" s="34"/>
      <c r="L201" s="34">
        <v>46281</v>
      </c>
      <c r="M201" s="17"/>
      <c r="N201" s="17">
        <f t="shared" si="12"/>
        <v>4.0999999999999996</v>
      </c>
      <c r="O201" s="17" t="str">
        <f t="shared" si="13"/>
        <v>Closed</v>
      </c>
      <c r="P201" s="35">
        <f>IF($A201="","",IF($L201&lt;&gt;"",$L201,Settings!$C$3)-INT($B201))</f>
        <v>8</v>
      </c>
      <c r="Q201" s="17" t="str">
        <f>IF($O201&lt;&gt;"Open","",Settings!$C$3-IF($J201&lt;&gt;"",$J201,INT($B201)))</f>
        <v/>
      </c>
      <c r="R201" s="17" t="str">
        <f>IF($A201="","",IF($O201="Closed","Closed",IF($F201="Unassigned","Unassigned",IF(AND($K201&lt;&gt;"",$K201&lt;Settings!$C$3),"Overdue",IF($Q201&gt;=Settings!$C$4,"Inactive","On Track")))))</f>
        <v>Closed</v>
      </c>
      <c r="S201" s="17" t="str">
        <f t="shared" si="14"/>
        <v/>
      </c>
      <c r="T201" s="36">
        <f t="shared" si="15"/>
        <v>46266</v>
      </c>
      <c r="U201" s="33">
        <f>IF(AND($O201="Open",OR(Dashboard!$D$3="All",$F201=Dashboard!$D$3)),$H201+ROW()/100000,0)</f>
        <v>0</v>
      </c>
    </row>
    <row r="202" spans="1:21" x14ac:dyDescent="0.25">
      <c r="A202" s="17" t="s">
        <v>423</v>
      </c>
      <c r="B202" s="32">
        <v>46274.444444444503</v>
      </c>
      <c r="C202" s="17" t="s">
        <v>68</v>
      </c>
      <c r="D202" s="17" t="s">
        <v>201</v>
      </c>
      <c r="E202" s="17" t="s">
        <v>116</v>
      </c>
      <c r="F202" s="17" t="s">
        <v>85</v>
      </c>
      <c r="G202" s="17" t="s">
        <v>47</v>
      </c>
      <c r="H202" s="33">
        <v>120000</v>
      </c>
      <c r="I202" s="32">
        <v>46274.511111111096</v>
      </c>
      <c r="J202" s="34">
        <v>46313</v>
      </c>
      <c r="K202" s="34">
        <v>46315</v>
      </c>
      <c r="L202" s="34"/>
      <c r="M202" s="17"/>
      <c r="N202" s="17">
        <f t="shared" si="12"/>
        <v>1.6</v>
      </c>
      <c r="O202" s="17" t="str">
        <f t="shared" si="13"/>
        <v>Open</v>
      </c>
      <c r="P202" s="35">
        <f>IF($A202="","",IF($L202&lt;&gt;"",$L202,Settings!$C$3)-INT($B202))</f>
        <v>40</v>
      </c>
      <c r="Q202" s="17">
        <f>IF($O202&lt;&gt;"Open","",Settings!$C$3-IF($J202&lt;&gt;"",$J202,INT($B202)))</f>
        <v>1</v>
      </c>
      <c r="R202" s="17" t="str">
        <f>IF($A202="","",IF($O202="Closed","Closed",IF($F202="Unassigned","Unassigned",IF(AND($K202&lt;&gt;"",$K202&lt;Settings!$C$3),"Overdue",IF($Q202&gt;=Settings!$C$4,"Inactive","On Track")))))</f>
        <v>On Track</v>
      </c>
      <c r="S202" s="17" t="str">
        <f t="shared" si="14"/>
        <v>31-60 days</v>
      </c>
      <c r="T202" s="36">
        <f t="shared" si="15"/>
        <v>46266</v>
      </c>
      <c r="U202" s="33">
        <f>IF(AND($O202="Open",OR(Dashboard!$D$3="All",$F202=Dashboard!$D$3)),$H202+ROW()/100000,0)</f>
        <v>120000.00202</v>
      </c>
    </row>
    <row r="203" spans="1:21" x14ac:dyDescent="0.25">
      <c r="A203" s="17" t="s">
        <v>424</v>
      </c>
      <c r="B203" s="32">
        <v>46274.736111111102</v>
      </c>
      <c r="C203" s="17" t="s">
        <v>68</v>
      </c>
      <c r="D203" s="17" t="s">
        <v>112</v>
      </c>
      <c r="E203" s="17" t="s">
        <v>123</v>
      </c>
      <c r="F203" s="17" t="s">
        <v>85</v>
      </c>
      <c r="G203" s="17" t="s">
        <v>17</v>
      </c>
      <c r="H203" s="33">
        <v>25100</v>
      </c>
      <c r="I203" s="32">
        <v>46274.998611111099</v>
      </c>
      <c r="J203" s="34">
        <v>46306</v>
      </c>
      <c r="K203" s="34"/>
      <c r="L203" s="34">
        <v>46306</v>
      </c>
      <c r="M203" s="17"/>
      <c r="N203" s="17">
        <f t="shared" si="12"/>
        <v>6.3</v>
      </c>
      <c r="O203" s="17" t="str">
        <f t="shared" si="13"/>
        <v>Closed</v>
      </c>
      <c r="P203" s="35">
        <f>IF($A203="","",IF($L203&lt;&gt;"",$L203,Settings!$C$3)-INT($B203))</f>
        <v>32</v>
      </c>
      <c r="Q203" s="17" t="str">
        <f>IF($O203&lt;&gt;"Open","",Settings!$C$3-IF($J203&lt;&gt;"",$J203,INT($B203)))</f>
        <v/>
      </c>
      <c r="R203" s="17" t="str">
        <f>IF($A203="","",IF($O203="Closed","Closed",IF($F203="Unassigned","Unassigned",IF(AND($K203&lt;&gt;"",$K203&lt;Settings!$C$3),"Overdue",IF($Q203&gt;=Settings!$C$4,"Inactive","On Track")))))</f>
        <v>Closed</v>
      </c>
      <c r="S203" s="17" t="str">
        <f t="shared" si="14"/>
        <v/>
      </c>
      <c r="T203" s="36">
        <f t="shared" si="15"/>
        <v>46266</v>
      </c>
      <c r="U203" s="33">
        <f>IF(AND($O203="Open",OR(Dashboard!$D$3="All",$F203=Dashboard!$D$3)),$H203+ROW()/100000,0)</f>
        <v>0</v>
      </c>
    </row>
    <row r="204" spans="1:21" x14ac:dyDescent="0.25">
      <c r="A204" s="17" t="s">
        <v>425</v>
      </c>
      <c r="B204" s="32">
        <v>46275.347222222197</v>
      </c>
      <c r="C204" s="17" t="s">
        <v>69</v>
      </c>
      <c r="D204" s="17" t="s">
        <v>277</v>
      </c>
      <c r="E204" s="17" t="s">
        <v>110</v>
      </c>
      <c r="F204" s="17" t="s">
        <v>84</v>
      </c>
      <c r="G204" s="17" t="s">
        <v>17</v>
      </c>
      <c r="H204" s="33">
        <v>45500</v>
      </c>
      <c r="I204" s="32">
        <v>46276.072222222203</v>
      </c>
      <c r="J204" s="34">
        <v>46302</v>
      </c>
      <c r="K204" s="34"/>
      <c r="L204" s="34">
        <v>46302</v>
      </c>
      <c r="M204" s="17"/>
      <c r="N204" s="17">
        <f t="shared" si="12"/>
        <v>17.399999999999999</v>
      </c>
      <c r="O204" s="17" t="str">
        <f t="shared" si="13"/>
        <v>Closed</v>
      </c>
      <c r="P204" s="35">
        <f>IF($A204="","",IF($L204&lt;&gt;"",$L204,Settings!$C$3)-INT($B204))</f>
        <v>27</v>
      </c>
      <c r="Q204" s="17" t="str">
        <f>IF($O204&lt;&gt;"Open","",Settings!$C$3-IF($J204&lt;&gt;"",$J204,INT($B204)))</f>
        <v/>
      </c>
      <c r="R204" s="17" t="str">
        <f>IF($A204="","",IF($O204="Closed","Closed",IF($F204="Unassigned","Unassigned",IF(AND($K204&lt;&gt;"",$K204&lt;Settings!$C$3),"Overdue",IF($Q204&gt;=Settings!$C$4,"Inactive","On Track")))))</f>
        <v>Closed</v>
      </c>
      <c r="S204" s="17" t="str">
        <f t="shared" si="14"/>
        <v/>
      </c>
      <c r="T204" s="36">
        <f t="shared" si="15"/>
        <v>46266</v>
      </c>
      <c r="U204" s="33">
        <f>IF(AND($O204="Open",OR(Dashboard!$D$3="All",$F204=Dashboard!$D$3)),$H204+ROW()/100000,0)</f>
        <v>0</v>
      </c>
    </row>
    <row r="205" spans="1:21" x14ac:dyDescent="0.25">
      <c r="A205" s="17" t="s">
        <v>426</v>
      </c>
      <c r="B205" s="32">
        <v>46275.388888888898</v>
      </c>
      <c r="C205" s="17" t="s">
        <v>66</v>
      </c>
      <c r="D205" s="17" t="s">
        <v>243</v>
      </c>
      <c r="E205" s="17" t="s">
        <v>113</v>
      </c>
      <c r="F205" s="17" t="s">
        <v>82</v>
      </c>
      <c r="G205" s="17" t="s">
        <v>47</v>
      </c>
      <c r="H205" s="33">
        <v>15800</v>
      </c>
      <c r="I205" s="32">
        <v>46275.6430555556</v>
      </c>
      <c r="J205" s="34">
        <v>46302</v>
      </c>
      <c r="K205" s="34">
        <v>46308</v>
      </c>
      <c r="L205" s="34"/>
      <c r="M205" s="17"/>
      <c r="N205" s="17">
        <f t="shared" si="12"/>
        <v>6.1</v>
      </c>
      <c r="O205" s="17" t="str">
        <f t="shared" si="13"/>
        <v>Open</v>
      </c>
      <c r="P205" s="35">
        <f>IF($A205="","",IF($L205&lt;&gt;"",$L205,Settings!$C$3)-INT($B205))</f>
        <v>39</v>
      </c>
      <c r="Q205" s="17">
        <f>IF($O205&lt;&gt;"Open","",Settings!$C$3-IF($J205&lt;&gt;"",$J205,INT($B205)))</f>
        <v>12</v>
      </c>
      <c r="R205" s="17" t="str">
        <f>IF($A205="","",IF($O205="Closed","Closed",IF($F205="Unassigned","Unassigned",IF(AND($K205&lt;&gt;"",$K205&lt;Settings!$C$3),"Overdue",IF($Q205&gt;=Settings!$C$4,"Inactive","On Track")))))</f>
        <v>Overdue</v>
      </c>
      <c r="S205" s="17" t="str">
        <f t="shared" si="14"/>
        <v>31-60 days</v>
      </c>
      <c r="T205" s="36">
        <f t="shared" si="15"/>
        <v>46266</v>
      </c>
      <c r="U205" s="33">
        <f>IF(AND($O205="Open",OR(Dashboard!$D$3="All",$F205=Dashboard!$D$3)),$H205+ROW()/100000,0)</f>
        <v>15800.002049999999</v>
      </c>
    </row>
    <row r="206" spans="1:21" x14ac:dyDescent="0.25">
      <c r="A206" s="17" t="s">
        <v>427</v>
      </c>
      <c r="B206" s="32">
        <v>46275.451388888898</v>
      </c>
      <c r="C206" s="17" t="s">
        <v>64</v>
      </c>
      <c r="D206" s="17" t="s">
        <v>269</v>
      </c>
      <c r="E206" s="17" t="s">
        <v>116</v>
      </c>
      <c r="F206" s="17" t="s">
        <v>85</v>
      </c>
      <c r="G206" s="17" t="s">
        <v>18</v>
      </c>
      <c r="H206" s="33">
        <v>65500</v>
      </c>
      <c r="I206" s="32">
        <v>46276.597222222197</v>
      </c>
      <c r="J206" s="34">
        <v>46305</v>
      </c>
      <c r="K206" s="34"/>
      <c r="L206" s="34">
        <v>46305</v>
      </c>
      <c r="M206" s="17" t="s">
        <v>73</v>
      </c>
      <c r="N206" s="17">
        <f t="shared" si="12"/>
        <v>27.5</v>
      </c>
      <c r="O206" s="17" t="str">
        <f t="shared" si="13"/>
        <v>Closed</v>
      </c>
      <c r="P206" s="35">
        <f>IF($A206="","",IF($L206&lt;&gt;"",$L206,Settings!$C$3)-INT($B206))</f>
        <v>30</v>
      </c>
      <c r="Q206" s="17" t="str">
        <f>IF($O206&lt;&gt;"Open","",Settings!$C$3-IF($J206&lt;&gt;"",$J206,INT($B206)))</f>
        <v/>
      </c>
      <c r="R206" s="17" t="str">
        <f>IF($A206="","",IF($O206="Closed","Closed",IF($F206="Unassigned","Unassigned",IF(AND($K206&lt;&gt;"",$K206&lt;Settings!$C$3),"Overdue",IF($Q206&gt;=Settings!$C$4,"Inactive","On Track")))))</f>
        <v>Closed</v>
      </c>
      <c r="S206" s="17" t="str">
        <f t="shared" si="14"/>
        <v/>
      </c>
      <c r="T206" s="36">
        <f t="shared" si="15"/>
        <v>46266</v>
      </c>
      <c r="U206" s="33">
        <f>IF(AND($O206="Open",OR(Dashboard!$D$3="All",$F206=Dashboard!$D$3)),$H206+ROW()/100000,0)</f>
        <v>0</v>
      </c>
    </row>
    <row r="207" spans="1:21" x14ac:dyDescent="0.25">
      <c r="A207" s="17" t="s">
        <v>428</v>
      </c>
      <c r="B207" s="32">
        <v>46275.506944444503</v>
      </c>
      <c r="C207" s="17" t="s">
        <v>65</v>
      </c>
      <c r="D207" s="17" t="s">
        <v>429</v>
      </c>
      <c r="E207" s="17" t="s">
        <v>147</v>
      </c>
      <c r="F207" s="17" t="s">
        <v>80</v>
      </c>
      <c r="G207" s="17" t="s">
        <v>48</v>
      </c>
      <c r="H207" s="33">
        <v>16400</v>
      </c>
      <c r="I207" s="32">
        <v>46275.594444444498</v>
      </c>
      <c r="J207" s="34">
        <v>46306</v>
      </c>
      <c r="K207" s="34">
        <v>46308</v>
      </c>
      <c r="L207" s="34"/>
      <c r="M207" s="17"/>
      <c r="N207" s="17">
        <f t="shared" si="12"/>
        <v>2.1</v>
      </c>
      <c r="O207" s="17" t="str">
        <f t="shared" si="13"/>
        <v>Open</v>
      </c>
      <c r="P207" s="35">
        <f>IF($A207="","",IF($L207&lt;&gt;"",$L207,Settings!$C$3)-INT($B207))</f>
        <v>39</v>
      </c>
      <c r="Q207" s="17">
        <f>IF($O207&lt;&gt;"Open","",Settings!$C$3-IF($J207&lt;&gt;"",$J207,INT($B207)))</f>
        <v>8</v>
      </c>
      <c r="R207" s="17" t="str">
        <f>IF($A207="","",IF($O207="Closed","Closed",IF($F207="Unassigned","Unassigned",IF(AND($K207&lt;&gt;"",$K207&lt;Settings!$C$3),"Overdue",IF($Q207&gt;=Settings!$C$4,"Inactive","On Track")))))</f>
        <v>Overdue</v>
      </c>
      <c r="S207" s="17" t="str">
        <f t="shared" si="14"/>
        <v>31-60 days</v>
      </c>
      <c r="T207" s="36">
        <f t="shared" si="15"/>
        <v>46266</v>
      </c>
      <c r="U207" s="33">
        <f>IF(AND($O207="Open",OR(Dashboard!$D$3="All",$F207=Dashboard!$D$3)),$H207+ROW()/100000,0)</f>
        <v>16400.002069999999</v>
      </c>
    </row>
    <row r="208" spans="1:21" x14ac:dyDescent="0.25">
      <c r="A208" s="17" t="s">
        <v>430</v>
      </c>
      <c r="B208" s="32">
        <v>46275.708333333299</v>
      </c>
      <c r="C208" s="17" t="s">
        <v>69</v>
      </c>
      <c r="D208" s="17" t="s">
        <v>125</v>
      </c>
      <c r="E208" s="17" t="s">
        <v>147</v>
      </c>
      <c r="F208" s="17" t="s">
        <v>80</v>
      </c>
      <c r="G208" s="17" t="s">
        <v>17</v>
      </c>
      <c r="H208" s="33">
        <v>10000</v>
      </c>
      <c r="I208" s="32">
        <v>46275.9</v>
      </c>
      <c r="J208" s="34">
        <v>46278</v>
      </c>
      <c r="K208" s="34"/>
      <c r="L208" s="34">
        <v>46278</v>
      </c>
      <c r="M208" s="17"/>
      <c r="N208" s="17">
        <f t="shared" si="12"/>
        <v>4.5999999999999996</v>
      </c>
      <c r="O208" s="17" t="str">
        <f t="shared" si="13"/>
        <v>Closed</v>
      </c>
      <c r="P208" s="35">
        <f>IF($A208="","",IF($L208&lt;&gt;"",$L208,Settings!$C$3)-INT($B208))</f>
        <v>3</v>
      </c>
      <c r="Q208" s="17" t="str">
        <f>IF($O208&lt;&gt;"Open","",Settings!$C$3-IF($J208&lt;&gt;"",$J208,INT($B208)))</f>
        <v/>
      </c>
      <c r="R208" s="17" t="str">
        <f>IF($A208="","",IF($O208="Closed","Closed",IF($F208="Unassigned","Unassigned",IF(AND($K208&lt;&gt;"",$K208&lt;Settings!$C$3),"Overdue",IF($Q208&gt;=Settings!$C$4,"Inactive","On Track")))))</f>
        <v>Closed</v>
      </c>
      <c r="S208" s="17" t="str">
        <f t="shared" si="14"/>
        <v/>
      </c>
      <c r="T208" s="36">
        <f t="shared" si="15"/>
        <v>46266</v>
      </c>
      <c r="U208" s="33">
        <f>IF(AND($O208="Open",OR(Dashboard!$D$3="All",$F208=Dashboard!$D$3)),$H208+ROW()/100000,0)</f>
        <v>0</v>
      </c>
    </row>
    <row r="209" spans="1:21" x14ac:dyDescent="0.25">
      <c r="A209" s="17" t="s">
        <v>431</v>
      </c>
      <c r="B209" s="32">
        <v>46276.597222222197</v>
      </c>
      <c r="C209" s="17" t="s">
        <v>64</v>
      </c>
      <c r="D209" s="17" t="s">
        <v>326</v>
      </c>
      <c r="E209" s="17" t="s">
        <v>123</v>
      </c>
      <c r="F209" s="17" t="s">
        <v>85</v>
      </c>
      <c r="G209" s="17" t="s">
        <v>18</v>
      </c>
      <c r="H209" s="33">
        <v>40100</v>
      </c>
      <c r="I209" s="32">
        <v>46276.793055555601</v>
      </c>
      <c r="J209" s="34">
        <v>46290</v>
      </c>
      <c r="K209" s="34"/>
      <c r="L209" s="34">
        <v>46290</v>
      </c>
      <c r="M209" s="17" t="s">
        <v>75</v>
      </c>
      <c r="N209" s="17">
        <f t="shared" si="12"/>
        <v>4.7</v>
      </c>
      <c r="O209" s="17" t="str">
        <f t="shared" si="13"/>
        <v>Closed</v>
      </c>
      <c r="P209" s="35">
        <f>IF($A209="","",IF($L209&lt;&gt;"",$L209,Settings!$C$3)-INT($B209))</f>
        <v>14</v>
      </c>
      <c r="Q209" s="17" t="str">
        <f>IF($O209&lt;&gt;"Open","",Settings!$C$3-IF($J209&lt;&gt;"",$J209,INT($B209)))</f>
        <v/>
      </c>
      <c r="R209" s="17" t="str">
        <f>IF($A209="","",IF($O209="Closed","Closed",IF($F209="Unassigned","Unassigned",IF(AND($K209&lt;&gt;"",$K209&lt;Settings!$C$3),"Overdue",IF($Q209&gt;=Settings!$C$4,"Inactive","On Track")))))</f>
        <v>Closed</v>
      </c>
      <c r="S209" s="17" t="str">
        <f t="shared" si="14"/>
        <v/>
      </c>
      <c r="T209" s="36">
        <f t="shared" si="15"/>
        <v>46266</v>
      </c>
      <c r="U209" s="33">
        <f>IF(AND($O209="Open",OR(Dashboard!$D$3="All",$F209=Dashboard!$D$3)),$H209+ROW()/100000,0)</f>
        <v>0</v>
      </c>
    </row>
    <row r="210" spans="1:21" x14ac:dyDescent="0.25">
      <c r="A210" s="17" t="s">
        <v>432</v>
      </c>
      <c r="B210" s="32">
        <v>46277.4375</v>
      </c>
      <c r="C210" s="17" t="s">
        <v>62</v>
      </c>
      <c r="D210" s="17" t="s">
        <v>118</v>
      </c>
      <c r="E210" s="17" t="s">
        <v>116</v>
      </c>
      <c r="F210" s="17" t="s">
        <v>81</v>
      </c>
      <c r="G210" s="17" t="s">
        <v>47</v>
      </c>
      <c r="H210" s="33">
        <v>12400</v>
      </c>
      <c r="I210" s="32">
        <v>46278.033333333296</v>
      </c>
      <c r="J210" s="34">
        <v>46311</v>
      </c>
      <c r="K210" s="34">
        <v>46316</v>
      </c>
      <c r="L210" s="34"/>
      <c r="M210" s="17"/>
      <c r="N210" s="17">
        <f t="shared" si="12"/>
        <v>14.3</v>
      </c>
      <c r="O210" s="17" t="str">
        <f t="shared" si="13"/>
        <v>Open</v>
      </c>
      <c r="P210" s="35">
        <f>IF($A210="","",IF($L210&lt;&gt;"",$L210,Settings!$C$3)-INT($B210))</f>
        <v>37</v>
      </c>
      <c r="Q210" s="17">
        <f>IF($O210&lt;&gt;"Open","",Settings!$C$3-IF($J210&lt;&gt;"",$J210,INT($B210)))</f>
        <v>3</v>
      </c>
      <c r="R210" s="17" t="str">
        <f>IF($A210="","",IF($O210="Closed","Closed",IF($F210="Unassigned","Unassigned",IF(AND($K210&lt;&gt;"",$K210&lt;Settings!$C$3),"Overdue",IF($Q210&gt;=Settings!$C$4,"Inactive","On Track")))))</f>
        <v>On Track</v>
      </c>
      <c r="S210" s="17" t="str">
        <f t="shared" si="14"/>
        <v>31-60 days</v>
      </c>
      <c r="T210" s="36">
        <f t="shared" si="15"/>
        <v>46266</v>
      </c>
      <c r="U210" s="33">
        <f>IF(AND($O210="Open",OR(Dashboard!$D$3="All",$F210=Dashboard!$D$3)),$H210+ROW()/100000,0)</f>
        <v>12400.0021</v>
      </c>
    </row>
    <row r="211" spans="1:21" x14ac:dyDescent="0.25">
      <c r="A211" s="17" t="s">
        <v>433</v>
      </c>
      <c r="B211" s="32">
        <v>46277.569444444503</v>
      </c>
      <c r="C211" s="17" t="s">
        <v>63</v>
      </c>
      <c r="D211" s="17" t="s">
        <v>109</v>
      </c>
      <c r="E211" s="17" t="s">
        <v>147</v>
      </c>
      <c r="F211" s="17" t="s">
        <v>85</v>
      </c>
      <c r="G211" s="17" t="s">
        <v>48</v>
      </c>
      <c r="H211" s="33">
        <v>62800</v>
      </c>
      <c r="I211" s="32">
        <v>46277.902777777803</v>
      </c>
      <c r="J211" s="34">
        <v>46309</v>
      </c>
      <c r="K211" s="34">
        <v>46315</v>
      </c>
      <c r="L211" s="34"/>
      <c r="M211" s="17"/>
      <c r="N211" s="17">
        <f t="shared" si="12"/>
        <v>8</v>
      </c>
      <c r="O211" s="17" t="str">
        <f t="shared" si="13"/>
        <v>Open</v>
      </c>
      <c r="P211" s="35">
        <f>IF($A211="","",IF($L211&lt;&gt;"",$L211,Settings!$C$3)-INT($B211))</f>
        <v>37</v>
      </c>
      <c r="Q211" s="17">
        <f>IF($O211&lt;&gt;"Open","",Settings!$C$3-IF($J211&lt;&gt;"",$J211,INT($B211)))</f>
        <v>5</v>
      </c>
      <c r="R211" s="17" t="str">
        <f>IF($A211="","",IF($O211="Closed","Closed",IF($F211="Unassigned","Unassigned",IF(AND($K211&lt;&gt;"",$K211&lt;Settings!$C$3),"Overdue",IF($Q211&gt;=Settings!$C$4,"Inactive","On Track")))))</f>
        <v>On Track</v>
      </c>
      <c r="S211" s="17" t="str">
        <f t="shared" si="14"/>
        <v>31-60 days</v>
      </c>
      <c r="T211" s="36">
        <f t="shared" si="15"/>
        <v>46266</v>
      </c>
      <c r="U211" s="33">
        <f>IF(AND($O211="Open",OR(Dashboard!$D$3="All",$F211=Dashboard!$D$3)),$H211+ROW()/100000,0)</f>
        <v>62800.002110000001</v>
      </c>
    </row>
    <row r="212" spans="1:21" x14ac:dyDescent="0.25">
      <c r="A212" s="17" t="s">
        <v>434</v>
      </c>
      <c r="B212" s="32">
        <v>46277.597222222197</v>
      </c>
      <c r="C212" s="17" t="s">
        <v>68</v>
      </c>
      <c r="D212" s="17" t="s">
        <v>195</v>
      </c>
      <c r="E212" s="17" t="s">
        <v>113</v>
      </c>
      <c r="F212" s="17" t="s">
        <v>80</v>
      </c>
      <c r="G212" s="17" t="s">
        <v>18</v>
      </c>
      <c r="H212" s="33">
        <v>27200</v>
      </c>
      <c r="I212" s="32">
        <v>46277.697222222203</v>
      </c>
      <c r="J212" s="34">
        <v>46298</v>
      </c>
      <c r="K212" s="34"/>
      <c r="L212" s="34">
        <v>46298</v>
      </c>
      <c r="M212" s="17" t="s">
        <v>75</v>
      </c>
      <c r="N212" s="17">
        <f t="shared" si="12"/>
        <v>2.4</v>
      </c>
      <c r="O212" s="17" t="str">
        <f t="shared" si="13"/>
        <v>Closed</v>
      </c>
      <c r="P212" s="35">
        <f>IF($A212="","",IF($L212&lt;&gt;"",$L212,Settings!$C$3)-INT($B212))</f>
        <v>21</v>
      </c>
      <c r="Q212" s="17" t="str">
        <f>IF($O212&lt;&gt;"Open","",Settings!$C$3-IF($J212&lt;&gt;"",$J212,INT($B212)))</f>
        <v/>
      </c>
      <c r="R212" s="17" t="str">
        <f>IF($A212="","",IF($O212="Closed","Closed",IF($F212="Unassigned","Unassigned",IF(AND($K212&lt;&gt;"",$K212&lt;Settings!$C$3),"Overdue",IF($Q212&gt;=Settings!$C$4,"Inactive","On Track")))))</f>
        <v>Closed</v>
      </c>
      <c r="S212" s="17" t="str">
        <f t="shared" si="14"/>
        <v/>
      </c>
      <c r="T212" s="36">
        <f t="shared" si="15"/>
        <v>46266</v>
      </c>
      <c r="U212" s="33">
        <f>IF(AND($O212="Open",OR(Dashboard!$D$3="All",$F212=Dashboard!$D$3)),$H212+ROW()/100000,0)</f>
        <v>0</v>
      </c>
    </row>
    <row r="213" spans="1:21" x14ac:dyDescent="0.25">
      <c r="A213" s="17" t="s">
        <v>435</v>
      </c>
      <c r="B213" s="32">
        <v>46278.652777777803</v>
      </c>
      <c r="C213" s="17" t="s">
        <v>69</v>
      </c>
      <c r="D213" s="17" t="s">
        <v>205</v>
      </c>
      <c r="E213" s="17" t="s">
        <v>123</v>
      </c>
      <c r="F213" s="17" t="s">
        <v>81</v>
      </c>
      <c r="G213" s="17" t="s">
        <v>47</v>
      </c>
      <c r="H213" s="33">
        <v>10100</v>
      </c>
      <c r="I213" s="32">
        <v>46278.894444444399</v>
      </c>
      <c r="J213" s="34">
        <v>46306</v>
      </c>
      <c r="K213" s="34">
        <v>46313</v>
      </c>
      <c r="L213" s="34"/>
      <c r="M213" s="17"/>
      <c r="N213" s="17">
        <f t="shared" si="12"/>
        <v>5.8</v>
      </c>
      <c r="O213" s="17" t="str">
        <f t="shared" si="13"/>
        <v>Open</v>
      </c>
      <c r="P213" s="35">
        <f>IF($A213="","",IF($L213&lt;&gt;"",$L213,Settings!$C$3)-INT($B213))</f>
        <v>36</v>
      </c>
      <c r="Q213" s="17">
        <f>IF($O213&lt;&gt;"Open","",Settings!$C$3-IF($J213&lt;&gt;"",$J213,INT($B213)))</f>
        <v>8</v>
      </c>
      <c r="R213" s="17" t="str">
        <f>IF($A213="","",IF($O213="Closed","Closed",IF($F213="Unassigned","Unassigned",IF(AND($K213&lt;&gt;"",$K213&lt;Settings!$C$3),"Overdue",IF($Q213&gt;=Settings!$C$4,"Inactive","On Track")))))</f>
        <v>Overdue</v>
      </c>
      <c r="S213" s="17" t="str">
        <f t="shared" si="14"/>
        <v>31-60 days</v>
      </c>
      <c r="T213" s="36">
        <f t="shared" si="15"/>
        <v>46266</v>
      </c>
      <c r="U213" s="33">
        <f>IF(AND($O213="Open",OR(Dashboard!$D$3="All",$F213=Dashboard!$D$3)),$H213+ROW()/100000,0)</f>
        <v>10100.002130000001</v>
      </c>
    </row>
    <row r="214" spans="1:21" x14ac:dyDescent="0.25">
      <c r="A214" s="17" t="s">
        <v>436</v>
      </c>
      <c r="B214" s="32">
        <v>46280.354166666701</v>
      </c>
      <c r="C214" s="17" t="s">
        <v>65</v>
      </c>
      <c r="D214" s="17" t="s">
        <v>285</v>
      </c>
      <c r="E214" s="17" t="s">
        <v>113</v>
      </c>
      <c r="F214" s="17" t="s">
        <v>84</v>
      </c>
      <c r="G214" s="17" t="s">
        <v>18</v>
      </c>
      <c r="H214" s="33">
        <v>29100</v>
      </c>
      <c r="I214" s="32">
        <v>46280.395833333299</v>
      </c>
      <c r="J214" s="34">
        <v>46283</v>
      </c>
      <c r="K214" s="34"/>
      <c r="L214" s="34">
        <v>46283</v>
      </c>
      <c r="M214" s="17" t="s">
        <v>75</v>
      </c>
      <c r="N214" s="17">
        <f t="shared" si="12"/>
        <v>1</v>
      </c>
      <c r="O214" s="17" t="str">
        <f t="shared" si="13"/>
        <v>Closed</v>
      </c>
      <c r="P214" s="35">
        <f>IF($A214="","",IF($L214&lt;&gt;"",$L214,Settings!$C$3)-INT($B214))</f>
        <v>3</v>
      </c>
      <c r="Q214" s="17" t="str">
        <f>IF($O214&lt;&gt;"Open","",Settings!$C$3-IF($J214&lt;&gt;"",$J214,INT($B214)))</f>
        <v/>
      </c>
      <c r="R214" s="17" t="str">
        <f>IF($A214="","",IF($O214="Closed","Closed",IF($F214="Unassigned","Unassigned",IF(AND($K214&lt;&gt;"",$K214&lt;Settings!$C$3),"Overdue",IF($Q214&gt;=Settings!$C$4,"Inactive","On Track")))))</f>
        <v>Closed</v>
      </c>
      <c r="S214" s="17" t="str">
        <f t="shared" si="14"/>
        <v/>
      </c>
      <c r="T214" s="36">
        <f t="shared" si="15"/>
        <v>46266</v>
      </c>
      <c r="U214" s="33">
        <f>IF(AND($O214="Open",OR(Dashboard!$D$3="All",$F214=Dashboard!$D$3)),$H214+ROW()/100000,0)</f>
        <v>0</v>
      </c>
    </row>
    <row r="215" spans="1:21" x14ac:dyDescent="0.25">
      <c r="A215" s="17" t="s">
        <v>437</v>
      </c>
      <c r="B215" s="32">
        <v>46281.625</v>
      </c>
      <c r="C215" s="17" t="s">
        <v>62</v>
      </c>
      <c r="D215" s="17" t="s">
        <v>438</v>
      </c>
      <c r="E215" s="17" t="s">
        <v>113</v>
      </c>
      <c r="F215" s="17" t="s">
        <v>83</v>
      </c>
      <c r="G215" s="17" t="s">
        <v>47</v>
      </c>
      <c r="H215" s="33">
        <v>5800</v>
      </c>
      <c r="I215" s="32">
        <v>46281.6875</v>
      </c>
      <c r="J215" s="34">
        <v>46302</v>
      </c>
      <c r="K215" s="34">
        <v>46308</v>
      </c>
      <c r="L215" s="34"/>
      <c r="M215" s="17"/>
      <c r="N215" s="17">
        <f t="shared" si="12"/>
        <v>1.5</v>
      </c>
      <c r="O215" s="17" t="str">
        <f t="shared" si="13"/>
        <v>Open</v>
      </c>
      <c r="P215" s="35">
        <f>IF($A215="","",IF($L215&lt;&gt;"",$L215,Settings!$C$3)-INT($B215))</f>
        <v>33</v>
      </c>
      <c r="Q215" s="17">
        <f>IF($O215&lt;&gt;"Open","",Settings!$C$3-IF($J215&lt;&gt;"",$J215,INT($B215)))</f>
        <v>12</v>
      </c>
      <c r="R215" s="17" t="str">
        <f>IF($A215="","",IF($O215="Closed","Closed",IF($F215="Unassigned","Unassigned",IF(AND($K215&lt;&gt;"",$K215&lt;Settings!$C$3),"Overdue",IF($Q215&gt;=Settings!$C$4,"Inactive","On Track")))))</f>
        <v>Overdue</v>
      </c>
      <c r="S215" s="17" t="str">
        <f t="shared" si="14"/>
        <v>31-60 days</v>
      </c>
      <c r="T215" s="36">
        <f t="shared" si="15"/>
        <v>46266</v>
      </c>
      <c r="U215" s="33">
        <f>IF(AND($O215="Open",OR(Dashboard!$D$3="All",$F215=Dashboard!$D$3)),$H215+ROW()/100000,0)</f>
        <v>5800.0021500000003</v>
      </c>
    </row>
    <row r="216" spans="1:21" x14ac:dyDescent="0.25">
      <c r="A216" s="17" t="s">
        <v>439</v>
      </c>
      <c r="B216" s="32">
        <v>46281.638888888898</v>
      </c>
      <c r="C216" s="17" t="s">
        <v>66</v>
      </c>
      <c r="D216" s="17" t="s">
        <v>438</v>
      </c>
      <c r="E216" s="17" t="s">
        <v>113</v>
      </c>
      <c r="F216" s="17" t="s">
        <v>81</v>
      </c>
      <c r="G216" s="17" t="s">
        <v>18</v>
      </c>
      <c r="H216" s="33">
        <v>33600</v>
      </c>
      <c r="I216" s="32">
        <v>46281.863888888904</v>
      </c>
      <c r="J216" s="34">
        <v>46312</v>
      </c>
      <c r="K216" s="34"/>
      <c r="L216" s="34">
        <v>46312</v>
      </c>
      <c r="M216" s="17" t="s">
        <v>73</v>
      </c>
      <c r="N216" s="17">
        <f t="shared" si="12"/>
        <v>5.4</v>
      </c>
      <c r="O216" s="17" t="str">
        <f t="shared" si="13"/>
        <v>Closed</v>
      </c>
      <c r="P216" s="35">
        <f>IF($A216="","",IF($L216&lt;&gt;"",$L216,Settings!$C$3)-INT($B216))</f>
        <v>31</v>
      </c>
      <c r="Q216" s="17" t="str">
        <f>IF($O216&lt;&gt;"Open","",Settings!$C$3-IF($J216&lt;&gt;"",$J216,INT($B216)))</f>
        <v/>
      </c>
      <c r="R216" s="17" t="str">
        <f>IF($A216="","",IF($O216="Closed","Closed",IF($F216="Unassigned","Unassigned",IF(AND($K216&lt;&gt;"",$K216&lt;Settings!$C$3),"Overdue",IF($Q216&gt;=Settings!$C$4,"Inactive","On Track")))))</f>
        <v>Closed</v>
      </c>
      <c r="S216" s="17" t="str">
        <f t="shared" si="14"/>
        <v/>
      </c>
      <c r="T216" s="36">
        <f t="shared" si="15"/>
        <v>46266</v>
      </c>
      <c r="U216" s="33">
        <f>IF(AND($O216="Open",OR(Dashboard!$D$3="All",$F216=Dashboard!$D$3)),$H216+ROW()/100000,0)</f>
        <v>0</v>
      </c>
    </row>
    <row r="217" spans="1:21" x14ac:dyDescent="0.25">
      <c r="A217" s="17" t="s">
        <v>440</v>
      </c>
      <c r="B217" s="32">
        <v>46281.666666666701</v>
      </c>
      <c r="C217" s="17" t="s">
        <v>68</v>
      </c>
      <c r="D217" s="17" t="s">
        <v>245</v>
      </c>
      <c r="E217" s="17" t="s">
        <v>113</v>
      </c>
      <c r="F217" s="17" t="s">
        <v>85</v>
      </c>
      <c r="G217" s="17" t="s">
        <v>17</v>
      </c>
      <c r="H217" s="33">
        <v>17000</v>
      </c>
      <c r="I217" s="32">
        <v>46281.954166666699</v>
      </c>
      <c r="J217" s="34">
        <v>46312</v>
      </c>
      <c r="K217" s="34"/>
      <c r="L217" s="34">
        <v>46312</v>
      </c>
      <c r="M217" s="17"/>
      <c r="N217" s="17">
        <f t="shared" si="12"/>
        <v>6.9</v>
      </c>
      <c r="O217" s="17" t="str">
        <f t="shared" si="13"/>
        <v>Closed</v>
      </c>
      <c r="P217" s="35">
        <f>IF($A217="","",IF($L217&lt;&gt;"",$L217,Settings!$C$3)-INT($B217))</f>
        <v>31</v>
      </c>
      <c r="Q217" s="17" t="str">
        <f>IF($O217&lt;&gt;"Open","",Settings!$C$3-IF($J217&lt;&gt;"",$J217,INT($B217)))</f>
        <v/>
      </c>
      <c r="R217" s="17" t="str">
        <f>IF($A217="","",IF($O217="Closed","Closed",IF($F217="Unassigned","Unassigned",IF(AND($K217&lt;&gt;"",$K217&lt;Settings!$C$3),"Overdue",IF($Q217&gt;=Settings!$C$4,"Inactive","On Track")))))</f>
        <v>Closed</v>
      </c>
      <c r="S217" s="17" t="str">
        <f t="shared" si="14"/>
        <v/>
      </c>
      <c r="T217" s="36">
        <f t="shared" si="15"/>
        <v>46266</v>
      </c>
      <c r="U217" s="33">
        <f>IF(AND($O217="Open",OR(Dashboard!$D$3="All",$F217=Dashboard!$D$3)),$H217+ROW()/100000,0)</f>
        <v>0</v>
      </c>
    </row>
    <row r="218" spans="1:21" x14ac:dyDescent="0.25">
      <c r="A218" s="17" t="s">
        <v>441</v>
      </c>
      <c r="B218" s="32">
        <v>46282.333333333299</v>
      </c>
      <c r="C218" s="17" t="s">
        <v>63</v>
      </c>
      <c r="D218" s="17" t="s">
        <v>331</v>
      </c>
      <c r="E218" s="17" t="s">
        <v>147</v>
      </c>
      <c r="F218" s="17" t="s">
        <v>80</v>
      </c>
      <c r="G218" s="17" t="s">
        <v>17</v>
      </c>
      <c r="H218" s="33">
        <v>5900</v>
      </c>
      <c r="I218" s="32">
        <v>46282.758333333302</v>
      </c>
      <c r="J218" s="34">
        <v>46314</v>
      </c>
      <c r="K218" s="34"/>
      <c r="L218" s="34">
        <v>46314</v>
      </c>
      <c r="M218" s="17"/>
      <c r="N218" s="17">
        <f t="shared" si="12"/>
        <v>10.199999999999999</v>
      </c>
      <c r="O218" s="17" t="str">
        <f t="shared" si="13"/>
        <v>Closed</v>
      </c>
      <c r="P218" s="35">
        <f>IF($A218="","",IF($L218&lt;&gt;"",$L218,Settings!$C$3)-INT($B218))</f>
        <v>32</v>
      </c>
      <c r="Q218" s="17" t="str">
        <f>IF($O218&lt;&gt;"Open","",Settings!$C$3-IF($J218&lt;&gt;"",$J218,INT($B218)))</f>
        <v/>
      </c>
      <c r="R218" s="17" t="str">
        <f>IF($A218="","",IF($O218="Closed","Closed",IF($F218="Unassigned","Unassigned",IF(AND($K218&lt;&gt;"",$K218&lt;Settings!$C$3),"Overdue",IF($Q218&gt;=Settings!$C$4,"Inactive","On Track")))))</f>
        <v>Closed</v>
      </c>
      <c r="S218" s="17" t="str">
        <f t="shared" si="14"/>
        <v/>
      </c>
      <c r="T218" s="36">
        <f t="shared" si="15"/>
        <v>46266</v>
      </c>
      <c r="U218" s="33">
        <f>IF(AND($O218="Open",OR(Dashboard!$D$3="All",$F218=Dashboard!$D$3)),$H218+ROW()/100000,0)</f>
        <v>0</v>
      </c>
    </row>
    <row r="219" spans="1:21" x14ac:dyDescent="0.25">
      <c r="A219" s="17" t="s">
        <v>442</v>
      </c>
      <c r="B219" s="32">
        <v>46282.347222222197</v>
      </c>
      <c r="C219" s="17" t="s">
        <v>62</v>
      </c>
      <c r="D219" s="17" t="s">
        <v>291</v>
      </c>
      <c r="E219" s="17" t="s">
        <v>123</v>
      </c>
      <c r="F219" s="17" t="s">
        <v>84</v>
      </c>
      <c r="G219" s="17" t="s">
        <v>18</v>
      </c>
      <c r="H219" s="33">
        <v>118500</v>
      </c>
      <c r="I219" s="32">
        <v>46282.609722222202</v>
      </c>
      <c r="J219" s="34">
        <v>46308</v>
      </c>
      <c r="K219" s="34"/>
      <c r="L219" s="34">
        <v>46308</v>
      </c>
      <c r="M219" s="17" t="s">
        <v>76</v>
      </c>
      <c r="N219" s="17">
        <f t="shared" si="12"/>
        <v>6.3</v>
      </c>
      <c r="O219" s="17" t="str">
        <f t="shared" si="13"/>
        <v>Closed</v>
      </c>
      <c r="P219" s="35">
        <f>IF($A219="","",IF($L219&lt;&gt;"",$L219,Settings!$C$3)-INT($B219))</f>
        <v>26</v>
      </c>
      <c r="Q219" s="17" t="str">
        <f>IF($O219&lt;&gt;"Open","",Settings!$C$3-IF($J219&lt;&gt;"",$J219,INT($B219)))</f>
        <v/>
      </c>
      <c r="R219" s="17" t="str">
        <f>IF($A219="","",IF($O219="Closed","Closed",IF($F219="Unassigned","Unassigned",IF(AND($K219&lt;&gt;"",$K219&lt;Settings!$C$3),"Overdue",IF($Q219&gt;=Settings!$C$4,"Inactive","On Track")))))</f>
        <v>Closed</v>
      </c>
      <c r="S219" s="17" t="str">
        <f t="shared" si="14"/>
        <v/>
      </c>
      <c r="T219" s="36">
        <f t="shared" si="15"/>
        <v>46266</v>
      </c>
      <c r="U219" s="33">
        <f>IF(AND($O219="Open",OR(Dashboard!$D$3="All",$F219=Dashboard!$D$3)),$H219+ROW()/100000,0)</f>
        <v>0</v>
      </c>
    </row>
    <row r="220" spans="1:21" x14ac:dyDescent="0.25">
      <c r="A220" s="17" t="s">
        <v>443</v>
      </c>
      <c r="B220" s="32">
        <v>46282.402777777803</v>
      </c>
      <c r="C220" s="17" t="s">
        <v>64</v>
      </c>
      <c r="D220" s="17" t="s">
        <v>153</v>
      </c>
      <c r="E220" s="17" t="s">
        <v>113</v>
      </c>
      <c r="F220" s="17" t="s">
        <v>81</v>
      </c>
      <c r="G220" s="17" t="s">
        <v>48</v>
      </c>
      <c r="H220" s="33">
        <v>59400</v>
      </c>
      <c r="I220" s="32">
        <v>46282.452777777798</v>
      </c>
      <c r="J220" s="34">
        <v>46312</v>
      </c>
      <c r="K220" s="34">
        <v>46316</v>
      </c>
      <c r="L220" s="34"/>
      <c r="M220" s="17"/>
      <c r="N220" s="17">
        <f t="shared" si="12"/>
        <v>1.2</v>
      </c>
      <c r="O220" s="17" t="str">
        <f t="shared" si="13"/>
        <v>Open</v>
      </c>
      <c r="P220" s="35">
        <f>IF($A220="","",IF($L220&lt;&gt;"",$L220,Settings!$C$3)-INT($B220))</f>
        <v>32</v>
      </c>
      <c r="Q220" s="17">
        <f>IF($O220&lt;&gt;"Open","",Settings!$C$3-IF($J220&lt;&gt;"",$J220,INT($B220)))</f>
        <v>2</v>
      </c>
      <c r="R220" s="17" t="str">
        <f>IF($A220="","",IF($O220="Closed","Closed",IF($F220="Unassigned","Unassigned",IF(AND($K220&lt;&gt;"",$K220&lt;Settings!$C$3),"Overdue",IF($Q220&gt;=Settings!$C$4,"Inactive","On Track")))))</f>
        <v>On Track</v>
      </c>
      <c r="S220" s="17" t="str">
        <f t="shared" si="14"/>
        <v>31-60 days</v>
      </c>
      <c r="T220" s="36">
        <f t="shared" si="15"/>
        <v>46266</v>
      </c>
      <c r="U220" s="33">
        <f>IF(AND($O220="Open",OR(Dashboard!$D$3="All",$F220=Dashboard!$D$3)),$H220+ROW()/100000,0)</f>
        <v>59400.002200000003</v>
      </c>
    </row>
    <row r="221" spans="1:21" x14ac:dyDescent="0.25">
      <c r="A221" s="17" t="s">
        <v>444</v>
      </c>
      <c r="B221" s="32">
        <v>46282.548611111102</v>
      </c>
      <c r="C221" s="17" t="s">
        <v>66</v>
      </c>
      <c r="D221" s="17" t="s">
        <v>445</v>
      </c>
      <c r="E221" s="17" t="s">
        <v>116</v>
      </c>
      <c r="F221" s="17" t="s">
        <v>84</v>
      </c>
      <c r="G221" s="17" t="s">
        <v>18</v>
      </c>
      <c r="H221" s="33">
        <v>25400</v>
      </c>
      <c r="I221" s="32">
        <v>46282.781944444498</v>
      </c>
      <c r="J221" s="34">
        <v>46293</v>
      </c>
      <c r="K221" s="34"/>
      <c r="L221" s="34">
        <v>46293</v>
      </c>
      <c r="M221" s="17" t="s">
        <v>73</v>
      </c>
      <c r="N221" s="17">
        <f t="shared" si="12"/>
        <v>5.6</v>
      </c>
      <c r="O221" s="17" t="str">
        <f t="shared" si="13"/>
        <v>Closed</v>
      </c>
      <c r="P221" s="35">
        <f>IF($A221="","",IF($L221&lt;&gt;"",$L221,Settings!$C$3)-INT($B221))</f>
        <v>11</v>
      </c>
      <c r="Q221" s="17" t="str">
        <f>IF($O221&lt;&gt;"Open","",Settings!$C$3-IF($J221&lt;&gt;"",$J221,INT($B221)))</f>
        <v/>
      </c>
      <c r="R221" s="17" t="str">
        <f>IF($A221="","",IF($O221="Closed","Closed",IF($F221="Unassigned","Unassigned",IF(AND($K221&lt;&gt;"",$K221&lt;Settings!$C$3),"Overdue",IF($Q221&gt;=Settings!$C$4,"Inactive","On Track")))))</f>
        <v>Closed</v>
      </c>
      <c r="S221" s="17" t="str">
        <f t="shared" si="14"/>
        <v/>
      </c>
      <c r="T221" s="36">
        <f t="shared" si="15"/>
        <v>46266</v>
      </c>
      <c r="U221" s="33">
        <f>IF(AND($O221="Open",OR(Dashboard!$D$3="All",$F221=Dashboard!$D$3)),$H221+ROW()/100000,0)</f>
        <v>0</v>
      </c>
    </row>
    <row r="222" spans="1:21" x14ac:dyDescent="0.25">
      <c r="A222" s="17" t="s">
        <v>446</v>
      </c>
      <c r="B222" s="32">
        <v>46282.631944444503</v>
      </c>
      <c r="C222" s="17" t="s">
        <v>68</v>
      </c>
      <c r="D222" s="17" t="s">
        <v>193</v>
      </c>
      <c r="E222" s="17" t="s">
        <v>147</v>
      </c>
      <c r="F222" s="17" t="s">
        <v>80</v>
      </c>
      <c r="G222" s="17" t="s">
        <v>18</v>
      </c>
      <c r="H222" s="33">
        <v>26300</v>
      </c>
      <c r="I222" s="32">
        <v>46282.715277777803</v>
      </c>
      <c r="J222" s="34">
        <v>46288</v>
      </c>
      <c r="K222" s="34"/>
      <c r="L222" s="34">
        <v>46288</v>
      </c>
      <c r="M222" s="17" t="s">
        <v>76</v>
      </c>
      <c r="N222" s="17">
        <f t="shared" si="12"/>
        <v>2</v>
      </c>
      <c r="O222" s="17" t="str">
        <f t="shared" si="13"/>
        <v>Closed</v>
      </c>
      <c r="P222" s="35">
        <f>IF($A222="","",IF($L222&lt;&gt;"",$L222,Settings!$C$3)-INT($B222))</f>
        <v>6</v>
      </c>
      <c r="Q222" s="17" t="str">
        <f>IF($O222&lt;&gt;"Open","",Settings!$C$3-IF($J222&lt;&gt;"",$J222,INT($B222)))</f>
        <v/>
      </c>
      <c r="R222" s="17" t="str">
        <f>IF($A222="","",IF($O222="Closed","Closed",IF($F222="Unassigned","Unassigned",IF(AND($K222&lt;&gt;"",$K222&lt;Settings!$C$3),"Overdue",IF($Q222&gt;=Settings!$C$4,"Inactive","On Track")))))</f>
        <v>Closed</v>
      </c>
      <c r="S222" s="17" t="str">
        <f t="shared" si="14"/>
        <v/>
      </c>
      <c r="T222" s="36">
        <f t="shared" si="15"/>
        <v>46266</v>
      </c>
      <c r="U222" s="33">
        <f>IF(AND($O222="Open",OR(Dashboard!$D$3="All",$F222=Dashboard!$D$3)),$H222+ROW()/100000,0)</f>
        <v>0</v>
      </c>
    </row>
    <row r="223" spans="1:21" x14ac:dyDescent="0.25">
      <c r="A223" s="17" t="s">
        <v>447</v>
      </c>
      <c r="B223" s="32">
        <v>46282.708333333299</v>
      </c>
      <c r="C223" s="17" t="s">
        <v>65</v>
      </c>
      <c r="D223" s="17" t="s">
        <v>287</v>
      </c>
      <c r="E223" s="17" t="s">
        <v>147</v>
      </c>
      <c r="F223" s="17" t="s">
        <v>84</v>
      </c>
      <c r="G223" s="17" t="s">
        <v>46</v>
      </c>
      <c r="H223" s="33">
        <v>18400</v>
      </c>
      <c r="I223" s="32">
        <v>46283.408333333296</v>
      </c>
      <c r="J223" s="34">
        <v>46313</v>
      </c>
      <c r="K223" s="34">
        <v>46320</v>
      </c>
      <c r="L223" s="34"/>
      <c r="M223" s="17"/>
      <c r="N223" s="17">
        <f t="shared" si="12"/>
        <v>16.8</v>
      </c>
      <c r="O223" s="17" t="str">
        <f t="shared" si="13"/>
        <v>Open</v>
      </c>
      <c r="P223" s="35">
        <f>IF($A223="","",IF($L223&lt;&gt;"",$L223,Settings!$C$3)-INT($B223))</f>
        <v>32</v>
      </c>
      <c r="Q223" s="17">
        <f>IF($O223&lt;&gt;"Open","",Settings!$C$3-IF($J223&lt;&gt;"",$J223,INT($B223)))</f>
        <v>1</v>
      </c>
      <c r="R223" s="17" t="str">
        <f>IF($A223="","",IF($O223="Closed","Closed",IF($F223="Unassigned","Unassigned",IF(AND($K223&lt;&gt;"",$K223&lt;Settings!$C$3),"Overdue",IF($Q223&gt;=Settings!$C$4,"Inactive","On Track")))))</f>
        <v>On Track</v>
      </c>
      <c r="S223" s="17" t="str">
        <f t="shared" si="14"/>
        <v>31-60 days</v>
      </c>
      <c r="T223" s="36">
        <f t="shared" si="15"/>
        <v>46266</v>
      </c>
      <c r="U223" s="33">
        <f>IF(AND($O223="Open",OR(Dashboard!$D$3="All",$F223=Dashboard!$D$3)),$H223+ROW()/100000,0)</f>
        <v>18400.002229999998</v>
      </c>
    </row>
    <row r="224" spans="1:21" x14ac:dyDescent="0.25">
      <c r="A224" s="17" t="s">
        <v>448</v>
      </c>
      <c r="B224" s="32">
        <v>46283.402777777803</v>
      </c>
      <c r="C224" s="17" t="s">
        <v>64</v>
      </c>
      <c r="D224" s="17" t="s">
        <v>155</v>
      </c>
      <c r="E224" s="17" t="s">
        <v>123</v>
      </c>
      <c r="F224" s="17" t="s">
        <v>85</v>
      </c>
      <c r="G224" s="17" t="s">
        <v>18</v>
      </c>
      <c r="H224" s="33">
        <v>52800</v>
      </c>
      <c r="I224" s="32">
        <v>46283.569444444503</v>
      </c>
      <c r="J224" s="34">
        <v>46299</v>
      </c>
      <c r="K224" s="34"/>
      <c r="L224" s="34">
        <v>46299</v>
      </c>
      <c r="M224" s="17" t="s">
        <v>75</v>
      </c>
      <c r="N224" s="17">
        <f t="shared" si="12"/>
        <v>4</v>
      </c>
      <c r="O224" s="17" t="str">
        <f t="shared" si="13"/>
        <v>Closed</v>
      </c>
      <c r="P224" s="35">
        <f>IF($A224="","",IF($L224&lt;&gt;"",$L224,Settings!$C$3)-INT($B224))</f>
        <v>16</v>
      </c>
      <c r="Q224" s="17" t="str">
        <f>IF($O224&lt;&gt;"Open","",Settings!$C$3-IF($J224&lt;&gt;"",$J224,INT($B224)))</f>
        <v/>
      </c>
      <c r="R224" s="17" t="str">
        <f>IF($A224="","",IF($O224="Closed","Closed",IF($F224="Unassigned","Unassigned",IF(AND($K224&lt;&gt;"",$K224&lt;Settings!$C$3),"Overdue",IF($Q224&gt;=Settings!$C$4,"Inactive","On Track")))))</f>
        <v>Closed</v>
      </c>
      <c r="S224" s="17" t="str">
        <f t="shared" si="14"/>
        <v/>
      </c>
      <c r="T224" s="36">
        <f t="shared" si="15"/>
        <v>46266</v>
      </c>
      <c r="U224" s="33">
        <f>IF(AND($O224="Open",OR(Dashboard!$D$3="All",$F224=Dashboard!$D$3)),$H224+ROW()/100000,0)</f>
        <v>0</v>
      </c>
    </row>
    <row r="225" spans="1:21" x14ac:dyDescent="0.25">
      <c r="A225" s="17" t="s">
        <v>449</v>
      </c>
      <c r="B225" s="32">
        <v>46283.597222222197</v>
      </c>
      <c r="C225" s="17" t="s">
        <v>63</v>
      </c>
      <c r="D225" s="17" t="s">
        <v>291</v>
      </c>
      <c r="E225" s="17" t="s">
        <v>123</v>
      </c>
      <c r="F225" s="17" t="s">
        <v>81</v>
      </c>
      <c r="G225" s="17" t="s">
        <v>46</v>
      </c>
      <c r="H225" s="33">
        <v>72800</v>
      </c>
      <c r="I225" s="32">
        <v>46283.693055555603</v>
      </c>
      <c r="J225" s="34">
        <v>46309</v>
      </c>
      <c r="K225" s="34">
        <v>46314</v>
      </c>
      <c r="L225" s="34"/>
      <c r="M225" s="17"/>
      <c r="N225" s="17">
        <f t="shared" si="12"/>
        <v>2.2999999999999998</v>
      </c>
      <c r="O225" s="17" t="str">
        <f t="shared" si="13"/>
        <v>Open</v>
      </c>
      <c r="P225" s="35">
        <f>IF($A225="","",IF($L225&lt;&gt;"",$L225,Settings!$C$3)-INT($B225))</f>
        <v>31</v>
      </c>
      <c r="Q225" s="17">
        <f>IF($O225&lt;&gt;"Open","",Settings!$C$3-IF($J225&lt;&gt;"",$J225,INT($B225)))</f>
        <v>5</v>
      </c>
      <c r="R225" s="17" t="str">
        <f>IF($A225="","",IF($O225="Closed","Closed",IF($F225="Unassigned","Unassigned",IF(AND($K225&lt;&gt;"",$K225&lt;Settings!$C$3),"Overdue",IF($Q225&gt;=Settings!$C$4,"Inactive","On Track")))))</f>
        <v>On Track</v>
      </c>
      <c r="S225" s="17" t="str">
        <f t="shared" si="14"/>
        <v>31-60 days</v>
      </c>
      <c r="T225" s="36">
        <f t="shared" si="15"/>
        <v>46266</v>
      </c>
      <c r="U225" s="33">
        <f>IF(AND($O225="Open",OR(Dashboard!$D$3="All",$F225=Dashboard!$D$3)),$H225+ROW()/100000,0)</f>
        <v>72800.002250000005</v>
      </c>
    </row>
    <row r="226" spans="1:21" x14ac:dyDescent="0.25">
      <c r="A226" s="17" t="s">
        <v>450</v>
      </c>
      <c r="B226" s="32">
        <v>46284.5625</v>
      </c>
      <c r="C226" s="17" t="s">
        <v>69</v>
      </c>
      <c r="D226" s="17" t="s">
        <v>299</v>
      </c>
      <c r="E226" s="17" t="s">
        <v>147</v>
      </c>
      <c r="F226" s="17" t="s">
        <v>83</v>
      </c>
      <c r="G226" s="17" t="s">
        <v>48</v>
      </c>
      <c r="H226" s="33">
        <v>174200</v>
      </c>
      <c r="I226" s="32">
        <v>46284.666666666701</v>
      </c>
      <c r="J226" s="34">
        <v>46312</v>
      </c>
      <c r="K226" s="34">
        <v>46319</v>
      </c>
      <c r="L226" s="34"/>
      <c r="M226" s="17"/>
      <c r="N226" s="17">
        <f t="shared" si="12"/>
        <v>2.5</v>
      </c>
      <c r="O226" s="17" t="str">
        <f t="shared" si="13"/>
        <v>Open</v>
      </c>
      <c r="P226" s="35">
        <f>IF($A226="","",IF($L226&lt;&gt;"",$L226,Settings!$C$3)-INT($B226))</f>
        <v>30</v>
      </c>
      <c r="Q226" s="17">
        <f>IF($O226&lt;&gt;"Open","",Settings!$C$3-IF($J226&lt;&gt;"",$J226,INT($B226)))</f>
        <v>2</v>
      </c>
      <c r="R226" s="17" t="str">
        <f>IF($A226="","",IF($O226="Closed","Closed",IF($F226="Unassigned","Unassigned",IF(AND($K226&lt;&gt;"",$K226&lt;Settings!$C$3),"Overdue",IF($Q226&gt;=Settings!$C$4,"Inactive","On Track")))))</f>
        <v>On Track</v>
      </c>
      <c r="S226" s="17" t="str">
        <f t="shared" si="14"/>
        <v>16-30 days</v>
      </c>
      <c r="T226" s="36">
        <f t="shared" si="15"/>
        <v>46266</v>
      </c>
      <c r="U226" s="33">
        <f>IF(AND($O226="Open",OR(Dashboard!$D$3="All",$F226=Dashboard!$D$3)),$H226+ROW()/100000,0)</f>
        <v>174200.00226000001</v>
      </c>
    </row>
    <row r="227" spans="1:21" x14ac:dyDescent="0.25">
      <c r="A227" s="17" t="s">
        <v>451</v>
      </c>
      <c r="B227" s="32">
        <v>46285.361111111102</v>
      </c>
      <c r="C227" s="17" t="s">
        <v>64</v>
      </c>
      <c r="D227" s="17" t="s">
        <v>161</v>
      </c>
      <c r="E227" s="17" t="s">
        <v>147</v>
      </c>
      <c r="F227" s="17" t="s">
        <v>84</v>
      </c>
      <c r="G227" s="17" t="s">
        <v>48</v>
      </c>
      <c r="H227" s="33">
        <v>10600</v>
      </c>
      <c r="I227" s="32">
        <v>46285.4819444444</v>
      </c>
      <c r="J227" s="34">
        <v>46289</v>
      </c>
      <c r="K227" s="34">
        <v>46293</v>
      </c>
      <c r="L227" s="34"/>
      <c r="M227" s="17"/>
      <c r="N227" s="17">
        <f t="shared" si="12"/>
        <v>2.9</v>
      </c>
      <c r="O227" s="17" t="str">
        <f t="shared" si="13"/>
        <v>Open</v>
      </c>
      <c r="P227" s="35">
        <f>IF($A227="","",IF($L227&lt;&gt;"",$L227,Settings!$C$3)-INT($B227))</f>
        <v>29</v>
      </c>
      <c r="Q227" s="17">
        <f>IF($O227&lt;&gt;"Open","",Settings!$C$3-IF($J227&lt;&gt;"",$J227,INT($B227)))</f>
        <v>25</v>
      </c>
      <c r="R227" s="17" t="str">
        <f>IF($A227="","",IF($O227="Closed","Closed",IF($F227="Unassigned","Unassigned",IF(AND($K227&lt;&gt;"",$K227&lt;Settings!$C$3),"Overdue",IF($Q227&gt;=Settings!$C$4,"Inactive","On Track")))))</f>
        <v>Overdue</v>
      </c>
      <c r="S227" s="17" t="str">
        <f t="shared" si="14"/>
        <v>16-30 days</v>
      </c>
      <c r="T227" s="36">
        <f t="shared" si="15"/>
        <v>46266</v>
      </c>
      <c r="U227" s="33">
        <f>IF(AND($O227="Open",OR(Dashboard!$D$3="All",$F227=Dashboard!$D$3)),$H227+ROW()/100000,0)</f>
        <v>10600.002270000001</v>
      </c>
    </row>
    <row r="228" spans="1:21" x14ac:dyDescent="0.25">
      <c r="A228" s="17" t="s">
        <v>452</v>
      </c>
      <c r="B228" s="32">
        <v>46285.381944444503</v>
      </c>
      <c r="C228" s="17" t="s">
        <v>69</v>
      </c>
      <c r="D228" s="17" t="s">
        <v>207</v>
      </c>
      <c r="E228" s="17" t="s">
        <v>113</v>
      </c>
      <c r="F228" s="17" t="s">
        <v>83</v>
      </c>
      <c r="G228" s="17" t="s">
        <v>48</v>
      </c>
      <c r="H228" s="33">
        <v>94900</v>
      </c>
      <c r="I228" s="32">
        <v>46285.511111111096</v>
      </c>
      <c r="J228" s="34">
        <v>46309</v>
      </c>
      <c r="K228" s="34">
        <v>46317</v>
      </c>
      <c r="L228" s="34"/>
      <c r="M228" s="17"/>
      <c r="N228" s="17">
        <f t="shared" si="12"/>
        <v>3.1</v>
      </c>
      <c r="O228" s="17" t="str">
        <f t="shared" si="13"/>
        <v>Open</v>
      </c>
      <c r="P228" s="35">
        <f>IF($A228="","",IF($L228&lt;&gt;"",$L228,Settings!$C$3)-INT($B228))</f>
        <v>29</v>
      </c>
      <c r="Q228" s="17">
        <f>IF($O228&lt;&gt;"Open","",Settings!$C$3-IF($J228&lt;&gt;"",$J228,INT($B228)))</f>
        <v>5</v>
      </c>
      <c r="R228" s="17" t="str">
        <f>IF($A228="","",IF($O228="Closed","Closed",IF($F228="Unassigned","Unassigned",IF(AND($K228&lt;&gt;"",$K228&lt;Settings!$C$3),"Overdue",IF($Q228&gt;=Settings!$C$4,"Inactive","On Track")))))</f>
        <v>On Track</v>
      </c>
      <c r="S228" s="17" t="str">
        <f t="shared" si="14"/>
        <v>16-30 days</v>
      </c>
      <c r="T228" s="36">
        <f t="shared" si="15"/>
        <v>46266</v>
      </c>
      <c r="U228" s="33">
        <f>IF(AND($O228="Open",OR(Dashboard!$D$3="All",$F228=Dashboard!$D$3)),$H228+ROW()/100000,0)</f>
        <v>94900.002280000001</v>
      </c>
    </row>
    <row r="229" spans="1:21" x14ac:dyDescent="0.25">
      <c r="A229" s="17" t="s">
        <v>453</v>
      </c>
      <c r="B229" s="32">
        <v>46285.534722222197</v>
      </c>
      <c r="C229" s="17" t="s">
        <v>66</v>
      </c>
      <c r="D229" s="17" t="s">
        <v>454</v>
      </c>
      <c r="E229" s="17" t="s">
        <v>116</v>
      </c>
      <c r="F229" s="17" t="s">
        <v>80</v>
      </c>
      <c r="G229" s="17" t="s">
        <v>17</v>
      </c>
      <c r="H229" s="33">
        <v>49300</v>
      </c>
      <c r="I229" s="32">
        <v>46285.684722222199</v>
      </c>
      <c r="J229" s="34">
        <v>46293</v>
      </c>
      <c r="K229" s="34"/>
      <c r="L229" s="34">
        <v>46293</v>
      </c>
      <c r="M229" s="17"/>
      <c r="N229" s="17">
        <f t="shared" si="12"/>
        <v>3.6</v>
      </c>
      <c r="O229" s="17" t="str">
        <f t="shared" si="13"/>
        <v>Closed</v>
      </c>
      <c r="P229" s="35">
        <f>IF($A229="","",IF($L229&lt;&gt;"",$L229,Settings!$C$3)-INT($B229))</f>
        <v>8</v>
      </c>
      <c r="Q229" s="17" t="str">
        <f>IF($O229&lt;&gt;"Open","",Settings!$C$3-IF($J229&lt;&gt;"",$J229,INT($B229)))</f>
        <v/>
      </c>
      <c r="R229" s="17" t="str">
        <f>IF($A229="","",IF($O229="Closed","Closed",IF($F229="Unassigned","Unassigned",IF(AND($K229&lt;&gt;"",$K229&lt;Settings!$C$3),"Overdue",IF($Q229&gt;=Settings!$C$4,"Inactive","On Track")))))</f>
        <v>Closed</v>
      </c>
      <c r="S229" s="17" t="str">
        <f t="shared" si="14"/>
        <v/>
      </c>
      <c r="T229" s="36">
        <f t="shared" si="15"/>
        <v>46266</v>
      </c>
      <c r="U229" s="33">
        <f>IF(AND($O229="Open",OR(Dashboard!$D$3="All",$F229=Dashboard!$D$3)),$H229+ROW()/100000,0)</f>
        <v>0</v>
      </c>
    </row>
    <row r="230" spans="1:21" x14ac:dyDescent="0.25">
      <c r="A230" s="17" t="s">
        <v>455</v>
      </c>
      <c r="B230" s="32">
        <v>46285.625</v>
      </c>
      <c r="C230" s="17" t="s">
        <v>62</v>
      </c>
      <c r="D230" s="17" t="s">
        <v>219</v>
      </c>
      <c r="E230" s="17" t="s">
        <v>123</v>
      </c>
      <c r="F230" s="17" t="s">
        <v>83</v>
      </c>
      <c r="G230" s="17" t="s">
        <v>47</v>
      </c>
      <c r="H230" s="33">
        <v>123800</v>
      </c>
      <c r="I230" s="32">
        <v>46286</v>
      </c>
      <c r="J230" s="34">
        <v>46311</v>
      </c>
      <c r="K230" s="34">
        <v>46319</v>
      </c>
      <c r="L230" s="34"/>
      <c r="M230" s="17"/>
      <c r="N230" s="17">
        <f t="shared" si="12"/>
        <v>9</v>
      </c>
      <c r="O230" s="17" t="str">
        <f t="shared" si="13"/>
        <v>Open</v>
      </c>
      <c r="P230" s="35">
        <f>IF($A230="","",IF($L230&lt;&gt;"",$L230,Settings!$C$3)-INT($B230))</f>
        <v>29</v>
      </c>
      <c r="Q230" s="17">
        <f>IF($O230&lt;&gt;"Open","",Settings!$C$3-IF($J230&lt;&gt;"",$J230,INT($B230)))</f>
        <v>3</v>
      </c>
      <c r="R230" s="17" t="str">
        <f>IF($A230="","",IF($O230="Closed","Closed",IF($F230="Unassigned","Unassigned",IF(AND($K230&lt;&gt;"",$K230&lt;Settings!$C$3),"Overdue",IF($Q230&gt;=Settings!$C$4,"Inactive","On Track")))))</f>
        <v>On Track</v>
      </c>
      <c r="S230" s="17" t="str">
        <f t="shared" si="14"/>
        <v>16-30 days</v>
      </c>
      <c r="T230" s="36">
        <f t="shared" si="15"/>
        <v>46266</v>
      </c>
      <c r="U230" s="33">
        <f>IF(AND($O230="Open",OR(Dashboard!$D$3="All",$F230=Dashboard!$D$3)),$H230+ROW()/100000,0)</f>
        <v>123800.00229999999</v>
      </c>
    </row>
    <row r="231" spans="1:21" x14ac:dyDescent="0.25">
      <c r="A231" s="17" t="s">
        <v>456</v>
      </c>
      <c r="B231" s="32">
        <v>46286.354166666701</v>
      </c>
      <c r="C231" s="17" t="s">
        <v>64</v>
      </c>
      <c r="D231" s="17" t="s">
        <v>326</v>
      </c>
      <c r="E231" s="17" t="s">
        <v>113</v>
      </c>
      <c r="F231" s="17" t="s">
        <v>82</v>
      </c>
      <c r="G231" s="17" t="s">
        <v>46</v>
      </c>
      <c r="H231" s="33">
        <v>58500</v>
      </c>
      <c r="I231" s="32">
        <v>46286.979166666701</v>
      </c>
      <c r="J231" s="34">
        <v>46306</v>
      </c>
      <c r="K231" s="34">
        <v>46308</v>
      </c>
      <c r="L231" s="34"/>
      <c r="M231" s="17"/>
      <c r="N231" s="17">
        <f t="shared" si="12"/>
        <v>15</v>
      </c>
      <c r="O231" s="17" t="str">
        <f t="shared" si="13"/>
        <v>Open</v>
      </c>
      <c r="P231" s="35">
        <f>IF($A231="","",IF($L231&lt;&gt;"",$L231,Settings!$C$3)-INT($B231))</f>
        <v>28</v>
      </c>
      <c r="Q231" s="17">
        <f>IF($O231&lt;&gt;"Open","",Settings!$C$3-IF($J231&lt;&gt;"",$J231,INT($B231)))</f>
        <v>8</v>
      </c>
      <c r="R231" s="17" t="str">
        <f>IF($A231="","",IF($O231="Closed","Closed",IF($F231="Unassigned","Unassigned",IF(AND($K231&lt;&gt;"",$K231&lt;Settings!$C$3),"Overdue",IF($Q231&gt;=Settings!$C$4,"Inactive","On Track")))))</f>
        <v>Overdue</v>
      </c>
      <c r="S231" s="17" t="str">
        <f t="shared" si="14"/>
        <v>16-30 days</v>
      </c>
      <c r="T231" s="36">
        <f t="shared" si="15"/>
        <v>46266</v>
      </c>
      <c r="U231" s="33">
        <f>IF(AND($O231="Open",OR(Dashboard!$D$3="All",$F231=Dashboard!$D$3)),$H231+ROW()/100000,0)</f>
        <v>58500.002310000003</v>
      </c>
    </row>
    <row r="232" spans="1:21" x14ac:dyDescent="0.25">
      <c r="A232" s="17" t="s">
        <v>457</v>
      </c>
      <c r="B232" s="32">
        <v>46286.409722222197</v>
      </c>
      <c r="C232" s="17" t="s">
        <v>66</v>
      </c>
      <c r="D232" s="17" t="s">
        <v>303</v>
      </c>
      <c r="E232" s="17" t="s">
        <v>123</v>
      </c>
      <c r="F232" s="17" t="s">
        <v>82</v>
      </c>
      <c r="G232" s="17" t="s">
        <v>47</v>
      </c>
      <c r="H232" s="33">
        <v>96200</v>
      </c>
      <c r="I232" s="32">
        <v>46286.747222222199</v>
      </c>
      <c r="J232" s="34">
        <v>46302</v>
      </c>
      <c r="K232" s="34">
        <v>46311</v>
      </c>
      <c r="L232" s="34"/>
      <c r="M232" s="17"/>
      <c r="N232" s="17">
        <f t="shared" si="12"/>
        <v>8.1</v>
      </c>
      <c r="O232" s="17" t="str">
        <f t="shared" si="13"/>
        <v>Open</v>
      </c>
      <c r="P232" s="35">
        <f>IF($A232="","",IF($L232&lt;&gt;"",$L232,Settings!$C$3)-INT($B232))</f>
        <v>28</v>
      </c>
      <c r="Q232" s="17">
        <f>IF($O232&lt;&gt;"Open","",Settings!$C$3-IF($J232&lt;&gt;"",$J232,INT($B232)))</f>
        <v>12</v>
      </c>
      <c r="R232" s="17" t="str">
        <f>IF($A232="","",IF($O232="Closed","Closed",IF($F232="Unassigned","Unassigned",IF(AND($K232&lt;&gt;"",$K232&lt;Settings!$C$3),"Overdue",IF($Q232&gt;=Settings!$C$4,"Inactive","On Track")))))</f>
        <v>Overdue</v>
      </c>
      <c r="S232" s="17" t="str">
        <f t="shared" si="14"/>
        <v>16-30 days</v>
      </c>
      <c r="T232" s="36">
        <f t="shared" si="15"/>
        <v>46266</v>
      </c>
      <c r="U232" s="33">
        <f>IF(AND($O232="Open",OR(Dashboard!$D$3="All",$F232=Dashboard!$D$3)),$H232+ROW()/100000,0)</f>
        <v>96200.00232</v>
      </c>
    </row>
    <row r="233" spans="1:21" x14ac:dyDescent="0.25">
      <c r="A233" s="17" t="s">
        <v>458</v>
      </c>
      <c r="B233" s="32">
        <v>46286.638888888898</v>
      </c>
      <c r="C233" s="17" t="s">
        <v>63</v>
      </c>
      <c r="D233" s="17" t="s">
        <v>209</v>
      </c>
      <c r="E233" s="17" t="s">
        <v>147</v>
      </c>
      <c r="F233" s="17" t="s">
        <v>83</v>
      </c>
      <c r="G233" s="17" t="s">
        <v>47</v>
      </c>
      <c r="H233" s="33">
        <v>74900</v>
      </c>
      <c r="I233" s="32">
        <v>46286.718055555597</v>
      </c>
      <c r="J233" s="34">
        <v>46306</v>
      </c>
      <c r="K233" s="34">
        <v>46312</v>
      </c>
      <c r="L233" s="34"/>
      <c r="M233" s="17"/>
      <c r="N233" s="17">
        <f t="shared" si="12"/>
        <v>1.9</v>
      </c>
      <c r="O233" s="17" t="str">
        <f t="shared" si="13"/>
        <v>Open</v>
      </c>
      <c r="P233" s="35">
        <f>IF($A233="","",IF($L233&lt;&gt;"",$L233,Settings!$C$3)-INT($B233))</f>
        <v>28</v>
      </c>
      <c r="Q233" s="17">
        <f>IF($O233&lt;&gt;"Open","",Settings!$C$3-IF($J233&lt;&gt;"",$J233,INT($B233)))</f>
        <v>8</v>
      </c>
      <c r="R233" s="17" t="str">
        <f>IF($A233="","",IF($O233="Closed","Closed",IF($F233="Unassigned","Unassigned",IF(AND($K233&lt;&gt;"",$K233&lt;Settings!$C$3),"Overdue",IF($Q233&gt;=Settings!$C$4,"Inactive","On Track")))))</f>
        <v>Overdue</v>
      </c>
      <c r="S233" s="17" t="str">
        <f t="shared" si="14"/>
        <v>16-30 days</v>
      </c>
      <c r="T233" s="36">
        <f t="shared" si="15"/>
        <v>46266</v>
      </c>
      <c r="U233" s="33">
        <f>IF(AND($O233="Open",OR(Dashboard!$D$3="All",$F233=Dashboard!$D$3)),$H233+ROW()/100000,0)</f>
        <v>74900.002330000003</v>
      </c>
    </row>
    <row r="234" spans="1:21" x14ac:dyDescent="0.25">
      <c r="A234" s="17" t="s">
        <v>459</v>
      </c>
      <c r="B234" s="32">
        <v>46286.6875</v>
      </c>
      <c r="C234" s="17" t="s">
        <v>69</v>
      </c>
      <c r="D234" s="17" t="s">
        <v>219</v>
      </c>
      <c r="E234" s="17" t="s">
        <v>113</v>
      </c>
      <c r="F234" s="17" t="s">
        <v>80</v>
      </c>
      <c r="G234" s="17" t="s">
        <v>46</v>
      </c>
      <c r="H234" s="33">
        <v>158200</v>
      </c>
      <c r="I234" s="32">
        <v>46287.379166666702</v>
      </c>
      <c r="J234" s="34">
        <v>46289</v>
      </c>
      <c r="K234" s="34">
        <v>46291</v>
      </c>
      <c r="L234" s="34"/>
      <c r="M234" s="17"/>
      <c r="N234" s="17">
        <f t="shared" si="12"/>
        <v>16.600000000000001</v>
      </c>
      <c r="O234" s="17" t="str">
        <f t="shared" si="13"/>
        <v>Open</v>
      </c>
      <c r="P234" s="35">
        <f>IF($A234="","",IF($L234&lt;&gt;"",$L234,Settings!$C$3)-INT($B234))</f>
        <v>28</v>
      </c>
      <c r="Q234" s="17">
        <f>IF($O234&lt;&gt;"Open","",Settings!$C$3-IF($J234&lt;&gt;"",$J234,INT($B234)))</f>
        <v>25</v>
      </c>
      <c r="R234" s="17" t="str">
        <f>IF($A234="","",IF($O234="Closed","Closed",IF($F234="Unassigned","Unassigned",IF(AND($K234&lt;&gt;"",$K234&lt;Settings!$C$3),"Overdue",IF($Q234&gt;=Settings!$C$4,"Inactive","On Track")))))</f>
        <v>Overdue</v>
      </c>
      <c r="S234" s="17" t="str">
        <f t="shared" si="14"/>
        <v>16-30 days</v>
      </c>
      <c r="T234" s="36">
        <f t="shared" si="15"/>
        <v>46266</v>
      </c>
      <c r="U234" s="33">
        <f>IF(AND($O234="Open",OR(Dashboard!$D$3="All",$F234=Dashboard!$D$3)),$H234+ROW()/100000,0)</f>
        <v>158200.00234000001</v>
      </c>
    </row>
    <row r="235" spans="1:21" x14ac:dyDescent="0.25">
      <c r="A235" s="17" t="s">
        <v>460</v>
      </c>
      <c r="B235" s="32">
        <v>46286.694444444503</v>
      </c>
      <c r="C235" s="17" t="s">
        <v>64</v>
      </c>
      <c r="D235" s="17" t="s">
        <v>159</v>
      </c>
      <c r="E235" s="17" t="s">
        <v>116</v>
      </c>
      <c r="F235" s="17" t="s">
        <v>84</v>
      </c>
      <c r="G235" s="17" t="s">
        <v>47</v>
      </c>
      <c r="H235" s="33">
        <v>7100</v>
      </c>
      <c r="I235" s="32">
        <v>46286.761111111096</v>
      </c>
      <c r="J235" s="34">
        <v>46311</v>
      </c>
      <c r="K235" s="34">
        <v>46314</v>
      </c>
      <c r="L235" s="34"/>
      <c r="M235" s="17"/>
      <c r="N235" s="17">
        <f t="shared" si="12"/>
        <v>1.6</v>
      </c>
      <c r="O235" s="17" t="str">
        <f t="shared" si="13"/>
        <v>Open</v>
      </c>
      <c r="P235" s="35">
        <f>IF($A235="","",IF($L235&lt;&gt;"",$L235,Settings!$C$3)-INT($B235))</f>
        <v>28</v>
      </c>
      <c r="Q235" s="17">
        <f>IF($O235&lt;&gt;"Open","",Settings!$C$3-IF($J235&lt;&gt;"",$J235,INT($B235)))</f>
        <v>3</v>
      </c>
      <c r="R235" s="17" t="str">
        <f>IF($A235="","",IF($O235="Closed","Closed",IF($F235="Unassigned","Unassigned",IF(AND($K235&lt;&gt;"",$K235&lt;Settings!$C$3),"Overdue",IF($Q235&gt;=Settings!$C$4,"Inactive","On Track")))))</f>
        <v>On Track</v>
      </c>
      <c r="S235" s="17" t="str">
        <f t="shared" si="14"/>
        <v>16-30 days</v>
      </c>
      <c r="T235" s="36">
        <f t="shared" si="15"/>
        <v>46266</v>
      </c>
      <c r="U235" s="33">
        <f>IF(AND($O235="Open",OR(Dashboard!$D$3="All",$F235=Dashboard!$D$3)),$H235+ROW()/100000,0)</f>
        <v>7100.0023499999998</v>
      </c>
    </row>
    <row r="236" spans="1:21" x14ac:dyDescent="0.25">
      <c r="A236" s="17" t="s">
        <v>461</v>
      </c>
      <c r="B236" s="32">
        <v>46286.701388888898</v>
      </c>
      <c r="C236" s="17" t="s">
        <v>63</v>
      </c>
      <c r="D236" s="17" t="s">
        <v>297</v>
      </c>
      <c r="E236" s="17" t="s">
        <v>110</v>
      </c>
      <c r="F236" s="17" t="s">
        <v>82</v>
      </c>
      <c r="G236" s="17" t="s">
        <v>48</v>
      </c>
      <c r="H236" s="33">
        <v>10500</v>
      </c>
      <c r="I236" s="32">
        <v>46287.163888888899</v>
      </c>
      <c r="J236" s="34">
        <v>46312</v>
      </c>
      <c r="K236" s="34">
        <v>46318</v>
      </c>
      <c r="L236" s="34"/>
      <c r="M236" s="17"/>
      <c r="N236" s="17">
        <f t="shared" si="12"/>
        <v>11.1</v>
      </c>
      <c r="O236" s="17" t="str">
        <f t="shared" si="13"/>
        <v>Open</v>
      </c>
      <c r="P236" s="35">
        <f>IF($A236="","",IF($L236&lt;&gt;"",$L236,Settings!$C$3)-INT($B236))</f>
        <v>28</v>
      </c>
      <c r="Q236" s="17">
        <f>IF($O236&lt;&gt;"Open","",Settings!$C$3-IF($J236&lt;&gt;"",$J236,INT($B236)))</f>
        <v>2</v>
      </c>
      <c r="R236" s="17" t="str">
        <f>IF($A236="","",IF($O236="Closed","Closed",IF($F236="Unassigned","Unassigned",IF(AND($K236&lt;&gt;"",$K236&lt;Settings!$C$3),"Overdue",IF($Q236&gt;=Settings!$C$4,"Inactive","On Track")))))</f>
        <v>On Track</v>
      </c>
      <c r="S236" s="17" t="str">
        <f t="shared" si="14"/>
        <v>16-30 days</v>
      </c>
      <c r="T236" s="36">
        <f t="shared" si="15"/>
        <v>46266</v>
      </c>
      <c r="U236" s="33">
        <f>IF(AND($O236="Open",OR(Dashboard!$D$3="All",$F236=Dashboard!$D$3)),$H236+ROW()/100000,0)</f>
        <v>10500.00236</v>
      </c>
    </row>
    <row r="237" spans="1:21" x14ac:dyDescent="0.25">
      <c r="A237" s="17" t="s">
        <v>462</v>
      </c>
      <c r="B237" s="32">
        <v>46287.375</v>
      </c>
      <c r="C237" s="17" t="s">
        <v>63</v>
      </c>
      <c r="D237" s="17" t="s">
        <v>438</v>
      </c>
      <c r="E237" s="17" t="s">
        <v>123</v>
      </c>
      <c r="F237" s="17" t="s">
        <v>82</v>
      </c>
      <c r="G237" s="17" t="s">
        <v>46</v>
      </c>
      <c r="H237" s="33">
        <v>56300</v>
      </c>
      <c r="I237" s="32">
        <v>46287.779166666704</v>
      </c>
      <c r="J237" s="34">
        <v>46312</v>
      </c>
      <c r="K237" s="34">
        <v>46315</v>
      </c>
      <c r="L237" s="34"/>
      <c r="M237" s="17"/>
      <c r="N237" s="17">
        <f t="shared" si="12"/>
        <v>9.6999999999999993</v>
      </c>
      <c r="O237" s="17" t="str">
        <f t="shared" si="13"/>
        <v>Open</v>
      </c>
      <c r="P237" s="35">
        <f>IF($A237="","",IF($L237&lt;&gt;"",$L237,Settings!$C$3)-INT($B237))</f>
        <v>27</v>
      </c>
      <c r="Q237" s="17">
        <f>IF($O237&lt;&gt;"Open","",Settings!$C$3-IF($J237&lt;&gt;"",$J237,INT($B237)))</f>
        <v>2</v>
      </c>
      <c r="R237" s="17" t="str">
        <f>IF($A237="","",IF($O237="Closed","Closed",IF($F237="Unassigned","Unassigned",IF(AND($K237&lt;&gt;"",$K237&lt;Settings!$C$3),"Overdue",IF($Q237&gt;=Settings!$C$4,"Inactive","On Track")))))</f>
        <v>On Track</v>
      </c>
      <c r="S237" s="17" t="str">
        <f t="shared" si="14"/>
        <v>16-30 days</v>
      </c>
      <c r="T237" s="36">
        <f t="shared" si="15"/>
        <v>46266</v>
      </c>
      <c r="U237" s="33">
        <f>IF(AND($O237="Open",OR(Dashboard!$D$3="All",$F237=Dashboard!$D$3)),$H237+ROW()/100000,0)</f>
        <v>56300.002370000002</v>
      </c>
    </row>
    <row r="238" spans="1:21" x14ac:dyDescent="0.25">
      <c r="A238" s="17" t="s">
        <v>463</v>
      </c>
      <c r="B238" s="32">
        <v>46287.513888888898</v>
      </c>
      <c r="C238" s="17" t="s">
        <v>63</v>
      </c>
      <c r="D238" s="17" t="s">
        <v>241</v>
      </c>
      <c r="E238" s="17" t="s">
        <v>138</v>
      </c>
      <c r="F238" s="17" t="s">
        <v>84</v>
      </c>
      <c r="G238" s="17" t="s">
        <v>17</v>
      </c>
      <c r="H238" s="33">
        <v>13500</v>
      </c>
      <c r="I238" s="32">
        <v>46287.688888888901</v>
      </c>
      <c r="J238" s="34">
        <v>46294</v>
      </c>
      <c r="K238" s="34"/>
      <c r="L238" s="34">
        <v>46294</v>
      </c>
      <c r="M238" s="17"/>
      <c r="N238" s="17">
        <f t="shared" si="12"/>
        <v>4.2</v>
      </c>
      <c r="O238" s="17" t="str">
        <f t="shared" si="13"/>
        <v>Closed</v>
      </c>
      <c r="P238" s="35">
        <f>IF($A238="","",IF($L238&lt;&gt;"",$L238,Settings!$C$3)-INT($B238))</f>
        <v>7</v>
      </c>
      <c r="Q238" s="17" t="str">
        <f>IF($O238&lt;&gt;"Open","",Settings!$C$3-IF($J238&lt;&gt;"",$J238,INT($B238)))</f>
        <v/>
      </c>
      <c r="R238" s="17" t="str">
        <f>IF($A238="","",IF($O238="Closed","Closed",IF($F238="Unassigned","Unassigned",IF(AND($K238&lt;&gt;"",$K238&lt;Settings!$C$3),"Overdue",IF($Q238&gt;=Settings!$C$4,"Inactive","On Track")))))</f>
        <v>Closed</v>
      </c>
      <c r="S238" s="17" t="str">
        <f t="shared" si="14"/>
        <v/>
      </c>
      <c r="T238" s="36">
        <f t="shared" si="15"/>
        <v>46266</v>
      </c>
      <c r="U238" s="33">
        <f>IF(AND($O238="Open",OR(Dashboard!$D$3="All",$F238=Dashboard!$D$3)),$H238+ROW()/100000,0)</f>
        <v>0</v>
      </c>
    </row>
    <row r="239" spans="1:21" x14ac:dyDescent="0.25">
      <c r="A239" s="17" t="s">
        <v>464</v>
      </c>
      <c r="B239" s="32">
        <v>46287.5625</v>
      </c>
      <c r="C239" s="17" t="s">
        <v>69</v>
      </c>
      <c r="D239" s="17" t="s">
        <v>122</v>
      </c>
      <c r="E239" s="17" t="s">
        <v>147</v>
      </c>
      <c r="F239" s="17" t="s">
        <v>80</v>
      </c>
      <c r="G239" s="17" t="s">
        <v>48</v>
      </c>
      <c r="H239" s="33">
        <v>80100</v>
      </c>
      <c r="I239" s="32">
        <v>46287.645833333299</v>
      </c>
      <c r="J239" s="34">
        <v>46306</v>
      </c>
      <c r="K239" s="34">
        <v>46310</v>
      </c>
      <c r="L239" s="34"/>
      <c r="M239" s="17"/>
      <c r="N239" s="17">
        <f t="shared" si="12"/>
        <v>2</v>
      </c>
      <c r="O239" s="17" t="str">
        <f t="shared" si="13"/>
        <v>Open</v>
      </c>
      <c r="P239" s="35">
        <f>IF($A239="","",IF($L239&lt;&gt;"",$L239,Settings!$C$3)-INT($B239))</f>
        <v>27</v>
      </c>
      <c r="Q239" s="17">
        <f>IF($O239&lt;&gt;"Open","",Settings!$C$3-IF($J239&lt;&gt;"",$J239,INT($B239)))</f>
        <v>8</v>
      </c>
      <c r="R239" s="17" t="str">
        <f>IF($A239="","",IF($O239="Closed","Closed",IF($F239="Unassigned","Unassigned",IF(AND($K239&lt;&gt;"",$K239&lt;Settings!$C$3),"Overdue",IF($Q239&gt;=Settings!$C$4,"Inactive","On Track")))))</f>
        <v>Overdue</v>
      </c>
      <c r="S239" s="17" t="str">
        <f t="shared" si="14"/>
        <v>16-30 days</v>
      </c>
      <c r="T239" s="36">
        <f t="shared" si="15"/>
        <v>46266</v>
      </c>
      <c r="U239" s="33">
        <f>IF(AND($O239="Open",OR(Dashboard!$D$3="All",$F239=Dashboard!$D$3)),$H239+ROW()/100000,0)</f>
        <v>80100.002389999994</v>
      </c>
    </row>
    <row r="240" spans="1:21" x14ac:dyDescent="0.25">
      <c r="A240" s="17" t="s">
        <v>465</v>
      </c>
      <c r="B240" s="32">
        <v>46287.701388888898</v>
      </c>
      <c r="C240" s="17" t="s">
        <v>65</v>
      </c>
      <c r="D240" s="17" t="s">
        <v>313</v>
      </c>
      <c r="E240" s="17" t="s">
        <v>147</v>
      </c>
      <c r="F240" s="17" t="s">
        <v>83</v>
      </c>
      <c r="G240" s="17" t="s">
        <v>46</v>
      </c>
      <c r="H240" s="33">
        <v>42600</v>
      </c>
      <c r="I240" s="32">
        <v>46288.263888888898</v>
      </c>
      <c r="J240" s="34">
        <v>46306</v>
      </c>
      <c r="K240" s="34">
        <v>46312</v>
      </c>
      <c r="L240" s="34"/>
      <c r="M240" s="17"/>
      <c r="N240" s="17">
        <f t="shared" si="12"/>
        <v>13.5</v>
      </c>
      <c r="O240" s="17" t="str">
        <f t="shared" si="13"/>
        <v>Open</v>
      </c>
      <c r="P240" s="35">
        <f>IF($A240="","",IF($L240&lt;&gt;"",$L240,Settings!$C$3)-INT($B240))</f>
        <v>27</v>
      </c>
      <c r="Q240" s="17">
        <f>IF($O240&lt;&gt;"Open","",Settings!$C$3-IF($J240&lt;&gt;"",$J240,INT($B240)))</f>
        <v>8</v>
      </c>
      <c r="R240" s="17" t="str">
        <f>IF($A240="","",IF($O240="Closed","Closed",IF($F240="Unassigned","Unassigned",IF(AND($K240&lt;&gt;"",$K240&lt;Settings!$C$3),"Overdue",IF($Q240&gt;=Settings!$C$4,"Inactive","On Track")))))</f>
        <v>Overdue</v>
      </c>
      <c r="S240" s="17" t="str">
        <f t="shared" si="14"/>
        <v>16-30 days</v>
      </c>
      <c r="T240" s="36">
        <f t="shared" si="15"/>
        <v>46266</v>
      </c>
      <c r="U240" s="33">
        <f>IF(AND($O240="Open",OR(Dashboard!$D$3="All",$F240=Dashboard!$D$3)),$H240+ROW()/100000,0)</f>
        <v>42600.002399999998</v>
      </c>
    </row>
    <row r="241" spans="1:21" x14ac:dyDescent="0.25">
      <c r="A241" s="17" t="s">
        <v>466</v>
      </c>
      <c r="B241" s="32">
        <v>46287.722222222197</v>
      </c>
      <c r="C241" s="17" t="s">
        <v>68</v>
      </c>
      <c r="D241" s="17" t="s">
        <v>133</v>
      </c>
      <c r="E241" s="17" t="s">
        <v>147</v>
      </c>
      <c r="F241" s="17" t="s">
        <v>85</v>
      </c>
      <c r="G241" s="17" t="s">
        <v>46</v>
      </c>
      <c r="H241" s="33">
        <v>56500</v>
      </c>
      <c r="I241" s="32">
        <v>46287.913888888899</v>
      </c>
      <c r="J241" s="34">
        <v>46311</v>
      </c>
      <c r="K241" s="34">
        <v>46314</v>
      </c>
      <c r="L241" s="34"/>
      <c r="M241" s="17"/>
      <c r="N241" s="17">
        <f t="shared" si="12"/>
        <v>4.5999999999999996</v>
      </c>
      <c r="O241" s="17" t="str">
        <f t="shared" si="13"/>
        <v>Open</v>
      </c>
      <c r="P241" s="35">
        <f>IF($A241="","",IF($L241&lt;&gt;"",$L241,Settings!$C$3)-INT($B241))</f>
        <v>27</v>
      </c>
      <c r="Q241" s="17">
        <f>IF($O241&lt;&gt;"Open","",Settings!$C$3-IF($J241&lt;&gt;"",$J241,INT($B241)))</f>
        <v>3</v>
      </c>
      <c r="R241" s="17" t="str">
        <f>IF($A241="","",IF($O241="Closed","Closed",IF($F241="Unassigned","Unassigned",IF(AND($K241&lt;&gt;"",$K241&lt;Settings!$C$3),"Overdue",IF($Q241&gt;=Settings!$C$4,"Inactive","On Track")))))</f>
        <v>On Track</v>
      </c>
      <c r="S241" s="17" t="str">
        <f t="shared" si="14"/>
        <v>16-30 days</v>
      </c>
      <c r="T241" s="36">
        <f t="shared" si="15"/>
        <v>46266</v>
      </c>
      <c r="U241" s="33">
        <f>IF(AND($O241="Open",OR(Dashboard!$D$3="All",$F241=Dashboard!$D$3)),$H241+ROW()/100000,0)</f>
        <v>56500.002410000001</v>
      </c>
    </row>
    <row r="242" spans="1:21" x14ac:dyDescent="0.25">
      <c r="A242" s="17" t="s">
        <v>467</v>
      </c>
      <c r="B242" s="32">
        <v>46287.743055555598</v>
      </c>
      <c r="C242" s="17" t="s">
        <v>62</v>
      </c>
      <c r="D242" s="17" t="s">
        <v>468</v>
      </c>
      <c r="E242" s="17" t="s">
        <v>138</v>
      </c>
      <c r="F242" s="17" t="s">
        <v>84</v>
      </c>
      <c r="G242" s="17" t="s">
        <v>48</v>
      </c>
      <c r="H242" s="33">
        <v>39900</v>
      </c>
      <c r="I242" s="32">
        <v>46288.055555555598</v>
      </c>
      <c r="J242" s="34">
        <v>46296</v>
      </c>
      <c r="K242" s="34">
        <v>46299</v>
      </c>
      <c r="L242" s="34"/>
      <c r="M242" s="17"/>
      <c r="N242" s="17">
        <f t="shared" si="12"/>
        <v>7.5</v>
      </c>
      <c r="O242" s="17" t="str">
        <f t="shared" si="13"/>
        <v>Open</v>
      </c>
      <c r="P242" s="35">
        <f>IF($A242="","",IF($L242&lt;&gt;"",$L242,Settings!$C$3)-INT($B242))</f>
        <v>27</v>
      </c>
      <c r="Q242" s="17">
        <f>IF($O242&lt;&gt;"Open","",Settings!$C$3-IF($J242&lt;&gt;"",$J242,INT($B242)))</f>
        <v>18</v>
      </c>
      <c r="R242" s="17" t="str">
        <f>IF($A242="","",IF($O242="Closed","Closed",IF($F242="Unassigned","Unassigned",IF(AND($K242&lt;&gt;"",$K242&lt;Settings!$C$3),"Overdue",IF($Q242&gt;=Settings!$C$4,"Inactive","On Track")))))</f>
        <v>Overdue</v>
      </c>
      <c r="S242" s="17" t="str">
        <f t="shared" si="14"/>
        <v>16-30 days</v>
      </c>
      <c r="T242" s="36">
        <f t="shared" si="15"/>
        <v>46266</v>
      </c>
      <c r="U242" s="33">
        <f>IF(AND($O242="Open",OR(Dashboard!$D$3="All",$F242=Dashboard!$D$3)),$H242+ROW()/100000,0)</f>
        <v>39900.002419999997</v>
      </c>
    </row>
    <row r="243" spans="1:21" x14ac:dyDescent="0.25">
      <c r="A243" s="17" t="s">
        <v>469</v>
      </c>
      <c r="B243" s="32">
        <v>46288.451388888898</v>
      </c>
      <c r="C243" s="17" t="s">
        <v>66</v>
      </c>
      <c r="D243" s="17" t="s">
        <v>249</v>
      </c>
      <c r="E243" s="17" t="s">
        <v>123</v>
      </c>
      <c r="F243" s="17" t="s">
        <v>83</v>
      </c>
      <c r="G243" s="17" t="s">
        <v>48</v>
      </c>
      <c r="H243" s="33">
        <v>20700</v>
      </c>
      <c r="I243" s="32">
        <v>46288.8305555556</v>
      </c>
      <c r="J243" s="34">
        <v>46309</v>
      </c>
      <c r="K243" s="34">
        <v>46314</v>
      </c>
      <c r="L243" s="34"/>
      <c r="M243" s="17"/>
      <c r="N243" s="17">
        <f t="shared" si="12"/>
        <v>9.1</v>
      </c>
      <c r="O243" s="17" t="str">
        <f t="shared" si="13"/>
        <v>Open</v>
      </c>
      <c r="P243" s="35">
        <f>IF($A243="","",IF($L243&lt;&gt;"",$L243,Settings!$C$3)-INT($B243))</f>
        <v>26</v>
      </c>
      <c r="Q243" s="17">
        <f>IF($O243&lt;&gt;"Open","",Settings!$C$3-IF($J243&lt;&gt;"",$J243,INT($B243)))</f>
        <v>5</v>
      </c>
      <c r="R243" s="17" t="str">
        <f>IF($A243="","",IF($O243="Closed","Closed",IF($F243="Unassigned","Unassigned",IF(AND($K243&lt;&gt;"",$K243&lt;Settings!$C$3),"Overdue",IF($Q243&gt;=Settings!$C$4,"Inactive","On Track")))))</f>
        <v>On Track</v>
      </c>
      <c r="S243" s="17" t="str">
        <f t="shared" si="14"/>
        <v>16-30 days</v>
      </c>
      <c r="T243" s="36">
        <f t="shared" si="15"/>
        <v>46266</v>
      </c>
      <c r="U243" s="33">
        <f>IF(AND($O243="Open",OR(Dashboard!$D$3="All",$F243=Dashboard!$D$3)),$H243+ROW()/100000,0)</f>
        <v>20700.00243</v>
      </c>
    </row>
    <row r="244" spans="1:21" x14ac:dyDescent="0.25">
      <c r="A244" s="17" t="s">
        <v>470</v>
      </c>
      <c r="B244" s="32">
        <v>46288.569444444503</v>
      </c>
      <c r="C244" s="17" t="s">
        <v>69</v>
      </c>
      <c r="D244" s="17" t="s">
        <v>471</v>
      </c>
      <c r="E244" s="17" t="s">
        <v>123</v>
      </c>
      <c r="F244" s="17" t="s">
        <v>84</v>
      </c>
      <c r="G244" s="17" t="s">
        <v>18</v>
      </c>
      <c r="H244" s="33">
        <v>68400</v>
      </c>
      <c r="I244" s="32">
        <v>46288.940277777801</v>
      </c>
      <c r="J244" s="34">
        <v>46314</v>
      </c>
      <c r="K244" s="34"/>
      <c r="L244" s="34">
        <v>46314</v>
      </c>
      <c r="M244" s="17" t="s">
        <v>77</v>
      </c>
      <c r="N244" s="17">
        <f t="shared" si="12"/>
        <v>8.9</v>
      </c>
      <c r="O244" s="17" t="str">
        <f t="shared" si="13"/>
        <v>Closed</v>
      </c>
      <c r="P244" s="35">
        <f>IF($A244="","",IF($L244&lt;&gt;"",$L244,Settings!$C$3)-INT($B244))</f>
        <v>26</v>
      </c>
      <c r="Q244" s="17" t="str">
        <f>IF($O244&lt;&gt;"Open","",Settings!$C$3-IF($J244&lt;&gt;"",$J244,INT($B244)))</f>
        <v/>
      </c>
      <c r="R244" s="17" t="str">
        <f>IF($A244="","",IF($O244="Closed","Closed",IF($F244="Unassigned","Unassigned",IF(AND($K244&lt;&gt;"",$K244&lt;Settings!$C$3),"Overdue",IF($Q244&gt;=Settings!$C$4,"Inactive","On Track")))))</f>
        <v>Closed</v>
      </c>
      <c r="S244" s="17" t="str">
        <f t="shared" si="14"/>
        <v/>
      </c>
      <c r="T244" s="36">
        <f t="shared" si="15"/>
        <v>46266</v>
      </c>
      <c r="U244" s="33">
        <f>IF(AND($O244="Open",OR(Dashboard!$D$3="All",$F244=Dashboard!$D$3)),$H244+ROW()/100000,0)</f>
        <v>0</v>
      </c>
    </row>
    <row r="245" spans="1:21" x14ac:dyDescent="0.25">
      <c r="A245" s="17" t="s">
        <v>472</v>
      </c>
      <c r="B245" s="32">
        <v>46289.4375</v>
      </c>
      <c r="C245" s="17" t="s">
        <v>65</v>
      </c>
      <c r="D245" s="17" t="s">
        <v>287</v>
      </c>
      <c r="E245" s="17" t="s">
        <v>110</v>
      </c>
      <c r="F245" s="17" t="s">
        <v>85</v>
      </c>
      <c r="G245" s="17" t="s">
        <v>46</v>
      </c>
      <c r="H245" s="33">
        <v>15500</v>
      </c>
      <c r="I245" s="32">
        <v>46289.625</v>
      </c>
      <c r="J245" s="34">
        <v>46311</v>
      </c>
      <c r="K245" s="34">
        <v>46313</v>
      </c>
      <c r="L245" s="34"/>
      <c r="M245" s="17"/>
      <c r="N245" s="17">
        <f t="shared" si="12"/>
        <v>4.5</v>
      </c>
      <c r="O245" s="17" t="str">
        <f t="shared" si="13"/>
        <v>Open</v>
      </c>
      <c r="P245" s="35">
        <f>IF($A245="","",IF($L245&lt;&gt;"",$L245,Settings!$C$3)-INT($B245))</f>
        <v>25</v>
      </c>
      <c r="Q245" s="17">
        <f>IF($O245&lt;&gt;"Open","",Settings!$C$3-IF($J245&lt;&gt;"",$J245,INT($B245)))</f>
        <v>3</v>
      </c>
      <c r="R245" s="17" t="str">
        <f>IF($A245="","",IF($O245="Closed","Closed",IF($F245="Unassigned","Unassigned",IF(AND($K245&lt;&gt;"",$K245&lt;Settings!$C$3),"Overdue",IF($Q245&gt;=Settings!$C$4,"Inactive","On Track")))))</f>
        <v>Overdue</v>
      </c>
      <c r="S245" s="17" t="str">
        <f t="shared" si="14"/>
        <v>16-30 days</v>
      </c>
      <c r="T245" s="36">
        <f t="shared" si="15"/>
        <v>46266</v>
      </c>
      <c r="U245" s="33">
        <f>IF(AND($O245="Open",OR(Dashboard!$D$3="All",$F245=Dashboard!$D$3)),$H245+ROW()/100000,0)</f>
        <v>15500.00245</v>
      </c>
    </row>
    <row r="246" spans="1:21" x14ac:dyDescent="0.25">
      <c r="A246" s="17" t="s">
        <v>473</v>
      </c>
      <c r="B246" s="32">
        <v>46289.479166666701</v>
      </c>
      <c r="C246" s="17" t="s">
        <v>66</v>
      </c>
      <c r="D246" s="17" t="s">
        <v>118</v>
      </c>
      <c r="E246" s="17" t="s">
        <v>123</v>
      </c>
      <c r="F246" s="17" t="s">
        <v>84</v>
      </c>
      <c r="G246" s="17" t="s">
        <v>47</v>
      </c>
      <c r="H246" s="33">
        <v>40900</v>
      </c>
      <c r="I246" s="32">
        <v>46289.837500000001</v>
      </c>
      <c r="J246" s="34">
        <v>46296</v>
      </c>
      <c r="K246" s="34">
        <v>46300</v>
      </c>
      <c r="L246" s="34"/>
      <c r="M246" s="17"/>
      <c r="N246" s="17">
        <f t="shared" si="12"/>
        <v>8.6</v>
      </c>
      <c r="O246" s="17" t="str">
        <f t="shared" si="13"/>
        <v>Open</v>
      </c>
      <c r="P246" s="35">
        <f>IF($A246="","",IF($L246&lt;&gt;"",$L246,Settings!$C$3)-INT($B246))</f>
        <v>25</v>
      </c>
      <c r="Q246" s="17">
        <f>IF($O246&lt;&gt;"Open","",Settings!$C$3-IF($J246&lt;&gt;"",$J246,INT($B246)))</f>
        <v>18</v>
      </c>
      <c r="R246" s="17" t="str">
        <f>IF($A246="","",IF($O246="Closed","Closed",IF($F246="Unassigned","Unassigned",IF(AND($K246&lt;&gt;"",$K246&lt;Settings!$C$3),"Overdue",IF($Q246&gt;=Settings!$C$4,"Inactive","On Track")))))</f>
        <v>Overdue</v>
      </c>
      <c r="S246" s="17" t="str">
        <f t="shared" si="14"/>
        <v>16-30 days</v>
      </c>
      <c r="T246" s="36">
        <f t="shared" si="15"/>
        <v>46266</v>
      </c>
      <c r="U246" s="33">
        <f>IF(AND($O246="Open",OR(Dashboard!$D$3="All",$F246=Dashboard!$D$3)),$H246+ROW()/100000,0)</f>
        <v>40900.002460000003</v>
      </c>
    </row>
    <row r="247" spans="1:21" x14ac:dyDescent="0.25">
      <c r="A247" s="17" t="s">
        <v>474</v>
      </c>
      <c r="B247" s="32">
        <v>46289.506944444503</v>
      </c>
      <c r="C247" s="17" t="s">
        <v>66</v>
      </c>
      <c r="D247" s="17" t="s">
        <v>201</v>
      </c>
      <c r="E247" s="17" t="s">
        <v>116</v>
      </c>
      <c r="F247" s="17" t="s">
        <v>80</v>
      </c>
      <c r="G247" s="17" t="s">
        <v>47</v>
      </c>
      <c r="H247" s="33">
        <v>43800</v>
      </c>
      <c r="I247" s="32">
        <v>46289.586111111101</v>
      </c>
      <c r="J247" s="34">
        <v>46313</v>
      </c>
      <c r="K247" s="34">
        <v>46320</v>
      </c>
      <c r="L247" s="34"/>
      <c r="M247" s="17"/>
      <c r="N247" s="17">
        <f t="shared" si="12"/>
        <v>1.9</v>
      </c>
      <c r="O247" s="17" t="str">
        <f t="shared" si="13"/>
        <v>Open</v>
      </c>
      <c r="P247" s="35">
        <f>IF($A247="","",IF($L247&lt;&gt;"",$L247,Settings!$C$3)-INT($B247))</f>
        <v>25</v>
      </c>
      <c r="Q247" s="17">
        <f>IF($O247&lt;&gt;"Open","",Settings!$C$3-IF($J247&lt;&gt;"",$J247,INT($B247)))</f>
        <v>1</v>
      </c>
      <c r="R247" s="17" t="str">
        <f>IF($A247="","",IF($O247="Closed","Closed",IF($F247="Unassigned","Unassigned",IF(AND($K247&lt;&gt;"",$K247&lt;Settings!$C$3),"Overdue",IF($Q247&gt;=Settings!$C$4,"Inactive","On Track")))))</f>
        <v>On Track</v>
      </c>
      <c r="S247" s="17" t="str">
        <f t="shared" si="14"/>
        <v>16-30 days</v>
      </c>
      <c r="T247" s="36">
        <f t="shared" si="15"/>
        <v>46266</v>
      </c>
      <c r="U247" s="33">
        <f>IF(AND($O247="Open",OR(Dashboard!$D$3="All",$F247=Dashboard!$D$3)),$H247+ROW()/100000,0)</f>
        <v>43800.002469999999</v>
      </c>
    </row>
    <row r="248" spans="1:21" x14ac:dyDescent="0.25">
      <c r="A248" s="17" t="s">
        <v>475</v>
      </c>
      <c r="B248" s="32">
        <v>46289.659722222197</v>
      </c>
      <c r="C248" s="17" t="s">
        <v>63</v>
      </c>
      <c r="D248" s="17" t="s">
        <v>167</v>
      </c>
      <c r="E248" s="17" t="s">
        <v>123</v>
      </c>
      <c r="F248" s="17" t="s">
        <v>84</v>
      </c>
      <c r="G248" s="17" t="s">
        <v>47</v>
      </c>
      <c r="H248" s="33">
        <v>58300</v>
      </c>
      <c r="I248" s="32">
        <v>46289.926388888904</v>
      </c>
      <c r="J248" s="34">
        <v>46313</v>
      </c>
      <c r="K248" s="34">
        <v>46320</v>
      </c>
      <c r="L248" s="34"/>
      <c r="M248" s="17"/>
      <c r="N248" s="17">
        <f t="shared" si="12"/>
        <v>6.4</v>
      </c>
      <c r="O248" s="17" t="str">
        <f t="shared" si="13"/>
        <v>Open</v>
      </c>
      <c r="P248" s="35">
        <f>IF($A248="","",IF($L248&lt;&gt;"",$L248,Settings!$C$3)-INT($B248))</f>
        <v>25</v>
      </c>
      <c r="Q248" s="17">
        <f>IF($O248&lt;&gt;"Open","",Settings!$C$3-IF($J248&lt;&gt;"",$J248,INT($B248)))</f>
        <v>1</v>
      </c>
      <c r="R248" s="17" t="str">
        <f>IF($A248="","",IF($O248="Closed","Closed",IF($F248="Unassigned","Unassigned",IF(AND($K248&lt;&gt;"",$K248&lt;Settings!$C$3),"Overdue",IF($Q248&gt;=Settings!$C$4,"Inactive","On Track")))))</f>
        <v>On Track</v>
      </c>
      <c r="S248" s="17" t="str">
        <f t="shared" si="14"/>
        <v>16-30 days</v>
      </c>
      <c r="T248" s="36">
        <f t="shared" si="15"/>
        <v>46266</v>
      </c>
      <c r="U248" s="33">
        <f>IF(AND($O248="Open",OR(Dashboard!$D$3="All",$F248=Dashboard!$D$3)),$H248+ROW()/100000,0)</f>
        <v>58300.002480000003</v>
      </c>
    </row>
    <row r="249" spans="1:21" x14ac:dyDescent="0.25">
      <c r="A249" s="17" t="s">
        <v>476</v>
      </c>
      <c r="B249" s="32">
        <v>46289.729166666701</v>
      </c>
      <c r="C249" s="17" t="s">
        <v>62</v>
      </c>
      <c r="D249" s="17" t="s">
        <v>471</v>
      </c>
      <c r="E249" s="17" t="s">
        <v>113</v>
      </c>
      <c r="F249" s="17" t="s">
        <v>82</v>
      </c>
      <c r="G249" s="17" t="s">
        <v>17</v>
      </c>
      <c r="H249" s="33">
        <v>19100</v>
      </c>
      <c r="I249" s="32">
        <v>46289.95</v>
      </c>
      <c r="J249" s="34">
        <v>46303</v>
      </c>
      <c r="K249" s="34"/>
      <c r="L249" s="34">
        <v>46303</v>
      </c>
      <c r="M249" s="17"/>
      <c r="N249" s="17">
        <f t="shared" si="12"/>
        <v>5.3</v>
      </c>
      <c r="O249" s="17" t="str">
        <f t="shared" si="13"/>
        <v>Closed</v>
      </c>
      <c r="P249" s="35">
        <f>IF($A249="","",IF($L249&lt;&gt;"",$L249,Settings!$C$3)-INT($B249))</f>
        <v>14</v>
      </c>
      <c r="Q249" s="17" t="str">
        <f>IF($O249&lt;&gt;"Open","",Settings!$C$3-IF($J249&lt;&gt;"",$J249,INT($B249)))</f>
        <v/>
      </c>
      <c r="R249" s="17" t="str">
        <f>IF($A249="","",IF($O249="Closed","Closed",IF($F249="Unassigned","Unassigned",IF(AND($K249&lt;&gt;"",$K249&lt;Settings!$C$3),"Overdue",IF($Q249&gt;=Settings!$C$4,"Inactive","On Track")))))</f>
        <v>Closed</v>
      </c>
      <c r="S249" s="17" t="str">
        <f t="shared" si="14"/>
        <v/>
      </c>
      <c r="T249" s="36">
        <f t="shared" si="15"/>
        <v>46266</v>
      </c>
      <c r="U249" s="33">
        <f>IF(AND($O249="Open",OR(Dashboard!$D$3="All",$F249=Dashboard!$D$3)),$H249+ROW()/100000,0)</f>
        <v>0</v>
      </c>
    </row>
    <row r="250" spans="1:21" x14ac:dyDescent="0.25">
      <c r="A250" s="17" t="s">
        <v>477</v>
      </c>
      <c r="B250" s="32">
        <v>46290.548611111102</v>
      </c>
      <c r="C250" s="17" t="s">
        <v>63</v>
      </c>
      <c r="D250" s="17" t="s">
        <v>418</v>
      </c>
      <c r="E250" s="17" t="s">
        <v>123</v>
      </c>
      <c r="F250" s="17" t="s">
        <v>82</v>
      </c>
      <c r="G250" s="17" t="s">
        <v>47</v>
      </c>
      <c r="H250" s="33">
        <v>11800</v>
      </c>
      <c r="I250" s="32">
        <v>46291.019444444399</v>
      </c>
      <c r="J250" s="34">
        <v>46296</v>
      </c>
      <c r="K250" s="34">
        <v>46304</v>
      </c>
      <c r="L250" s="34"/>
      <c r="M250" s="17"/>
      <c r="N250" s="17">
        <f t="shared" si="12"/>
        <v>11.3</v>
      </c>
      <c r="O250" s="17" t="str">
        <f t="shared" si="13"/>
        <v>Open</v>
      </c>
      <c r="P250" s="35">
        <f>IF($A250="","",IF($L250&lt;&gt;"",$L250,Settings!$C$3)-INT($B250))</f>
        <v>24</v>
      </c>
      <c r="Q250" s="17">
        <f>IF($O250&lt;&gt;"Open","",Settings!$C$3-IF($J250&lt;&gt;"",$J250,INT($B250)))</f>
        <v>18</v>
      </c>
      <c r="R250" s="17" t="str">
        <f>IF($A250="","",IF($O250="Closed","Closed",IF($F250="Unassigned","Unassigned",IF(AND($K250&lt;&gt;"",$K250&lt;Settings!$C$3),"Overdue",IF($Q250&gt;=Settings!$C$4,"Inactive","On Track")))))</f>
        <v>Overdue</v>
      </c>
      <c r="S250" s="17" t="str">
        <f t="shared" si="14"/>
        <v>16-30 days</v>
      </c>
      <c r="T250" s="36">
        <f t="shared" si="15"/>
        <v>46266</v>
      </c>
      <c r="U250" s="33">
        <f>IF(AND($O250="Open",OR(Dashboard!$D$3="All",$F250=Dashboard!$D$3)),$H250+ROW()/100000,0)</f>
        <v>11800.002500000001</v>
      </c>
    </row>
    <row r="251" spans="1:21" x14ac:dyDescent="0.25">
      <c r="A251" s="17" t="s">
        <v>478</v>
      </c>
      <c r="B251" s="32">
        <v>46291.347222222197</v>
      </c>
      <c r="C251" s="17" t="s">
        <v>63</v>
      </c>
      <c r="D251" s="17" t="s">
        <v>289</v>
      </c>
      <c r="E251" s="17" t="s">
        <v>147</v>
      </c>
      <c r="F251" s="17" t="s">
        <v>81</v>
      </c>
      <c r="G251" s="17" t="s">
        <v>17</v>
      </c>
      <c r="H251" s="33">
        <v>7900</v>
      </c>
      <c r="I251" s="32">
        <v>46291.530555555597</v>
      </c>
      <c r="J251" s="34">
        <v>46312</v>
      </c>
      <c r="K251" s="34"/>
      <c r="L251" s="34">
        <v>46312</v>
      </c>
      <c r="M251" s="17"/>
      <c r="N251" s="17">
        <f t="shared" si="12"/>
        <v>4.4000000000000004</v>
      </c>
      <c r="O251" s="17" t="str">
        <f t="shared" si="13"/>
        <v>Closed</v>
      </c>
      <c r="P251" s="35">
        <f>IF($A251="","",IF($L251&lt;&gt;"",$L251,Settings!$C$3)-INT($B251))</f>
        <v>21</v>
      </c>
      <c r="Q251" s="17" t="str">
        <f>IF($O251&lt;&gt;"Open","",Settings!$C$3-IF($J251&lt;&gt;"",$J251,INT($B251)))</f>
        <v/>
      </c>
      <c r="R251" s="17" t="str">
        <f>IF($A251="","",IF($O251="Closed","Closed",IF($F251="Unassigned","Unassigned",IF(AND($K251&lt;&gt;"",$K251&lt;Settings!$C$3),"Overdue",IF($Q251&gt;=Settings!$C$4,"Inactive","On Track")))))</f>
        <v>Closed</v>
      </c>
      <c r="S251" s="17" t="str">
        <f t="shared" si="14"/>
        <v/>
      </c>
      <c r="T251" s="36">
        <f t="shared" si="15"/>
        <v>46266</v>
      </c>
      <c r="U251" s="33">
        <f>IF(AND($O251="Open",OR(Dashboard!$D$3="All",$F251=Dashboard!$D$3)),$H251+ROW()/100000,0)</f>
        <v>0</v>
      </c>
    </row>
    <row r="252" spans="1:21" x14ac:dyDescent="0.25">
      <c r="A252" s="17" t="s">
        <v>479</v>
      </c>
      <c r="B252" s="32">
        <v>46291.4375</v>
      </c>
      <c r="C252" s="17" t="s">
        <v>63</v>
      </c>
      <c r="D252" s="17" t="s">
        <v>205</v>
      </c>
      <c r="E252" s="17" t="s">
        <v>110</v>
      </c>
      <c r="F252" s="17" t="s">
        <v>81</v>
      </c>
      <c r="G252" s="17" t="s">
        <v>48</v>
      </c>
      <c r="H252" s="33">
        <v>12400</v>
      </c>
      <c r="I252" s="32">
        <v>46291.541666666701</v>
      </c>
      <c r="J252" s="34">
        <v>46302</v>
      </c>
      <c r="K252" s="34">
        <v>46305</v>
      </c>
      <c r="L252" s="34"/>
      <c r="M252" s="17"/>
      <c r="N252" s="17">
        <f t="shared" si="12"/>
        <v>2.5</v>
      </c>
      <c r="O252" s="17" t="str">
        <f t="shared" si="13"/>
        <v>Open</v>
      </c>
      <c r="P252" s="35">
        <f>IF($A252="","",IF($L252&lt;&gt;"",$L252,Settings!$C$3)-INT($B252))</f>
        <v>23</v>
      </c>
      <c r="Q252" s="17">
        <f>IF($O252&lt;&gt;"Open","",Settings!$C$3-IF($J252&lt;&gt;"",$J252,INT($B252)))</f>
        <v>12</v>
      </c>
      <c r="R252" s="17" t="str">
        <f>IF($A252="","",IF($O252="Closed","Closed",IF($F252="Unassigned","Unassigned",IF(AND($K252&lt;&gt;"",$K252&lt;Settings!$C$3),"Overdue",IF($Q252&gt;=Settings!$C$4,"Inactive","On Track")))))</f>
        <v>Overdue</v>
      </c>
      <c r="S252" s="17" t="str">
        <f t="shared" si="14"/>
        <v>16-30 days</v>
      </c>
      <c r="T252" s="36">
        <f t="shared" si="15"/>
        <v>46266</v>
      </c>
      <c r="U252" s="33">
        <f>IF(AND($O252="Open",OR(Dashboard!$D$3="All",$F252=Dashboard!$D$3)),$H252+ROW()/100000,0)</f>
        <v>12400.00252</v>
      </c>
    </row>
    <row r="253" spans="1:21" x14ac:dyDescent="0.25">
      <c r="A253" s="17" t="s">
        <v>480</v>
      </c>
      <c r="B253" s="32">
        <v>46291.555555555598</v>
      </c>
      <c r="C253" s="17" t="s">
        <v>64</v>
      </c>
      <c r="D253" s="17" t="s">
        <v>301</v>
      </c>
      <c r="E253" s="17" t="s">
        <v>110</v>
      </c>
      <c r="F253" s="17" t="s">
        <v>81</v>
      </c>
      <c r="G253" s="17" t="s">
        <v>47</v>
      </c>
      <c r="H253" s="33">
        <v>83200</v>
      </c>
      <c r="I253" s="32">
        <v>46291.851388888899</v>
      </c>
      <c r="J253" s="34">
        <v>46311</v>
      </c>
      <c r="K253" s="34">
        <v>46316</v>
      </c>
      <c r="L253" s="34"/>
      <c r="M253" s="17"/>
      <c r="N253" s="17">
        <f t="shared" si="12"/>
        <v>7.1</v>
      </c>
      <c r="O253" s="17" t="str">
        <f t="shared" si="13"/>
        <v>Open</v>
      </c>
      <c r="P253" s="35">
        <f>IF($A253="","",IF($L253&lt;&gt;"",$L253,Settings!$C$3)-INT($B253))</f>
        <v>23</v>
      </c>
      <c r="Q253" s="17">
        <f>IF($O253&lt;&gt;"Open","",Settings!$C$3-IF($J253&lt;&gt;"",$J253,INT($B253)))</f>
        <v>3</v>
      </c>
      <c r="R253" s="17" t="str">
        <f>IF($A253="","",IF($O253="Closed","Closed",IF($F253="Unassigned","Unassigned",IF(AND($K253&lt;&gt;"",$K253&lt;Settings!$C$3),"Overdue",IF($Q253&gt;=Settings!$C$4,"Inactive","On Track")))))</f>
        <v>On Track</v>
      </c>
      <c r="S253" s="17" t="str">
        <f t="shared" si="14"/>
        <v>16-30 days</v>
      </c>
      <c r="T253" s="36">
        <f t="shared" si="15"/>
        <v>46266</v>
      </c>
      <c r="U253" s="33">
        <f>IF(AND($O253="Open",OR(Dashboard!$D$3="All",$F253=Dashboard!$D$3)),$H253+ROW()/100000,0)</f>
        <v>83200.002529999998</v>
      </c>
    </row>
    <row r="254" spans="1:21" x14ac:dyDescent="0.25">
      <c r="A254" s="17" t="s">
        <v>481</v>
      </c>
      <c r="B254" s="32">
        <v>46292.534722222197</v>
      </c>
      <c r="C254" s="17" t="s">
        <v>62</v>
      </c>
      <c r="D254" s="17" t="s">
        <v>140</v>
      </c>
      <c r="E254" s="17" t="s">
        <v>110</v>
      </c>
      <c r="F254" s="17" t="s">
        <v>83</v>
      </c>
      <c r="G254" s="17" t="s">
        <v>18</v>
      </c>
      <c r="H254" s="33">
        <v>25200</v>
      </c>
      <c r="I254" s="32">
        <v>46292.697222222203</v>
      </c>
      <c r="J254" s="34">
        <v>46311</v>
      </c>
      <c r="K254" s="34"/>
      <c r="L254" s="34">
        <v>46311</v>
      </c>
      <c r="M254" s="17" t="s">
        <v>78</v>
      </c>
      <c r="N254" s="17">
        <f t="shared" si="12"/>
        <v>3.9</v>
      </c>
      <c r="O254" s="17" t="str">
        <f t="shared" si="13"/>
        <v>Closed</v>
      </c>
      <c r="P254" s="35">
        <f>IF($A254="","",IF($L254&lt;&gt;"",$L254,Settings!$C$3)-INT($B254))</f>
        <v>19</v>
      </c>
      <c r="Q254" s="17" t="str">
        <f>IF($O254&lt;&gt;"Open","",Settings!$C$3-IF($J254&lt;&gt;"",$J254,INT($B254)))</f>
        <v/>
      </c>
      <c r="R254" s="17" t="str">
        <f>IF($A254="","",IF($O254="Closed","Closed",IF($F254="Unassigned","Unassigned",IF(AND($K254&lt;&gt;"",$K254&lt;Settings!$C$3),"Overdue",IF($Q254&gt;=Settings!$C$4,"Inactive","On Track")))))</f>
        <v>Closed</v>
      </c>
      <c r="S254" s="17" t="str">
        <f t="shared" si="14"/>
        <v/>
      </c>
      <c r="T254" s="36">
        <f t="shared" si="15"/>
        <v>46266</v>
      </c>
      <c r="U254" s="33">
        <f>IF(AND($O254="Open",OR(Dashboard!$D$3="All",$F254=Dashboard!$D$3)),$H254+ROW()/100000,0)</f>
        <v>0</v>
      </c>
    </row>
    <row r="255" spans="1:21" x14ac:dyDescent="0.25">
      <c r="A255" s="17" t="s">
        <v>482</v>
      </c>
      <c r="B255" s="32">
        <v>46292.597222222197</v>
      </c>
      <c r="C255" s="17" t="s">
        <v>64</v>
      </c>
      <c r="D255" s="17" t="s">
        <v>283</v>
      </c>
      <c r="E255" s="17" t="s">
        <v>113</v>
      </c>
      <c r="F255" s="17" t="s">
        <v>85</v>
      </c>
      <c r="G255" s="17" t="s">
        <v>46</v>
      </c>
      <c r="H255" s="33">
        <v>25000</v>
      </c>
      <c r="I255" s="32">
        <v>46293.784722222197</v>
      </c>
      <c r="J255" s="34">
        <v>46293</v>
      </c>
      <c r="K255" s="34">
        <v>46298</v>
      </c>
      <c r="L255" s="34"/>
      <c r="M255" s="17"/>
      <c r="N255" s="17">
        <f t="shared" si="12"/>
        <v>28.5</v>
      </c>
      <c r="O255" s="17" t="str">
        <f t="shared" si="13"/>
        <v>Open</v>
      </c>
      <c r="P255" s="35">
        <f>IF($A255="","",IF($L255&lt;&gt;"",$L255,Settings!$C$3)-INT($B255))</f>
        <v>22</v>
      </c>
      <c r="Q255" s="17">
        <f>IF($O255&lt;&gt;"Open","",Settings!$C$3-IF($J255&lt;&gt;"",$J255,INT($B255)))</f>
        <v>21</v>
      </c>
      <c r="R255" s="17" t="str">
        <f>IF($A255="","",IF($O255="Closed","Closed",IF($F255="Unassigned","Unassigned",IF(AND($K255&lt;&gt;"",$K255&lt;Settings!$C$3),"Overdue",IF($Q255&gt;=Settings!$C$4,"Inactive","On Track")))))</f>
        <v>Overdue</v>
      </c>
      <c r="S255" s="17" t="str">
        <f t="shared" si="14"/>
        <v>16-30 days</v>
      </c>
      <c r="T255" s="36">
        <f t="shared" si="15"/>
        <v>46266</v>
      </c>
      <c r="U255" s="33">
        <f>IF(AND($O255="Open",OR(Dashboard!$D$3="All",$F255=Dashboard!$D$3)),$H255+ROW()/100000,0)</f>
        <v>25000.002550000001</v>
      </c>
    </row>
    <row r="256" spans="1:21" x14ac:dyDescent="0.25">
      <c r="A256" s="17" t="s">
        <v>483</v>
      </c>
      <c r="B256" s="32">
        <v>46292.659722222197</v>
      </c>
      <c r="C256" s="17" t="s">
        <v>64</v>
      </c>
      <c r="D256" s="17" t="s">
        <v>301</v>
      </c>
      <c r="E256" s="17" t="s">
        <v>110</v>
      </c>
      <c r="F256" s="17" t="s">
        <v>81</v>
      </c>
      <c r="G256" s="17" t="s">
        <v>46</v>
      </c>
      <c r="H256" s="33">
        <v>35100</v>
      </c>
      <c r="I256" s="32">
        <v>46292.722222222197</v>
      </c>
      <c r="J256" s="34">
        <v>46302</v>
      </c>
      <c r="K256" s="34">
        <v>46308</v>
      </c>
      <c r="L256" s="34"/>
      <c r="M256" s="17"/>
      <c r="N256" s="17">
        <f t="shared" si="12"/>
        <v>1.5</v>
      </c>
      <c r="O256" s="17" t="str">
        <f t="shared" si="13"/>
        <v>Open</v>
      </c>
      <c r="P256" s="35">
        <f>IF($A256="","",IF($L256&lt;&gt;"",$L256,Settings!$C$3)-INT($B256))</f>
        <v>22</v>
      </c>
      <c r="Q256" s="17">
        <f>IF($O256&lt;&gt;"Open","",Settings!$C$3-IF($J256&lt;&gt;"",$J256,INT($B256)))</f>
        <v>12</v>
      </c>
      <c r="R256" s="17" t="str">
        <f>IF($A256="","",IF($O256="Closed","Closed",IF($F256="Unassigned","Unassigned",IF(AND($K256&lt;&gt;"",$K256&lt;Settings!$C$3),"Overdue",IF($Q256&gt;=Settings!$C$4,"Inactive","On Track")))))</f>
        <v>Overdue</v>
      </c>
      <c r="S256" s="17" t="str">
        <f t="shared" si="14"/>
        <v>16-30 days</v>
      </c>
      <c r="T256" s="36">
        <f t="shared" si="15"/>
        <v>46266</v>
      </c>
      <c r="U256" s="33">
        <f>IF(AND($O256="Open",OR(Dashboard!$D$3="All",$F256=Dashboard!$D$3)),$H256+ROW()/100000,0)</f>
        <v>35100.002560000001</v>
      </c>
    </row>
    <row r="257" spans="1:21" x14ac:dyDescent="0.25">
      <c r="A257" s="17" t="s">
        <v>484</v>
      </c>
      <c r="B257" s="32">
        <v>46292.736111111102</v>
      </c>
      <c r="C257" s="17" t="s">
        <v>62</v>
      </c>
      <c r="D257" s="17" t="s">
        <v>299</v>
      </c>
      <c r="E257" s="17" t="s">
        <v>147</v>
      </c>
      <c r="F257" s="17" t="s">
        <v>85</v>
      </c>
      <c r="G257" s="17" t="s">
        <v>47</v>
      </c>
      <c r="H257" s="33">
        <v>70100</v>
      </c>
      <c r="I257" s="32">
        <v>46292.973611111098</v>
      </c>
      <c r="J257" s="34">
        <v>46311</v>
      </c>
      <c r="K257" s="34">
        <v>46315</v>
      </c>
      <c r="L257" s="34"/>
      <c r="M257" s="17"/>
      <c r="N257" s="17">
        <f t="shared" si="12"/>
        <v>5.7</v>
      </c>
      <c r="O257" s="17" t="str">
        <f t="shared" si="13"/>
        <v>Open</v>
      </c>
      <c r="P257" s="35">
        <f>IF($A257="","",IF($L257&lt;&gt;"",$L257,Settings!$C$3)-INT($B257))</f>
        <v>22</v>
      </c>
      <c r="Q257" s="17">
        <f>IF($O257&lt;&gt;"Open","",Settings!$C$3-IF($J257&lt;&gt;"",$J257,INT($B257)))</f>
        <v>3</v>
      </c>
      <c r="R257" s="17" t="str">
        <f>IF($A257="","",IF($O257="Closed","Closed",IF($F257="Unassigned","Unassigned",IF(AND($K257&lt;&gt;"",$K257&lt;Settings!$C$3),"Overdue",IF($Q257&gt;=Settings!$C$4,"Inactive","On Track")))))</f>
        <v>On Track</v>
      </c>
      <c r="S257" s="17" t="str">
        <f t="shared" si="14"/>
        <v>16-30 days</v>
      </c>
      <c r="T257" s="36">
        <f t="shared" si="15"/>
        <v>46266</v>
      </c>
      <c r="U257" s="33">
        <f>IF(AND($O257="Open",OR(Dashboard!$D$3="All",$F257=Dashboard!$D$3)),$H257+ROW()/100000,0)</f>
        <v>70100.002569999997</v>
      </c>
    </row>
    <row r="258" spans="1:21" x14ac:dyDescent="0.25">
      <c r="A258" s="17" t="s">
        <v>485</v>
      </c>
      <c r="B258" s="32">
        <v>46293.534722222197</v>
      </c>
      <c r="C258" s="17" t="s">
        <v>62</v>
      </c>
      <c r="D258" s="17" t="s">
        <v>307</v>
      </c>
      <c r="E258" s="17" t="s">
        <v>110</v>
      </c>
      <c r="F258" s="17" t="s">
        <v>84</v>
      </c>
      <c r="G258" s="17" t="s">
        <v>47</v>
      </c>
      <c r="H258" s="33">
        <v>19600</v>
      </c>
      <c r="I258" s="32">
        <v>46294.680555555598</v>
      </c>
      <c r="J258" s="34">
        <v>46296</v>
      </c>
      <c r="K258" s="34">
        <v>46299</v>
      </c>
      <c r="L258" s="34"/>
      <c r="M258" s="17"/>
      <c r="N258" s="17">
        <f t="shared" ref="N258:N321" si="16">IF(OR($A258="",$I258=""),"",ROUND(($I258-$B258)*24,1))</f>
        <v>27.5</v>
      </c>
      <c r="O258" s="17" t="str">
        <f t="shared" ref="O258:O321" si="17">IF($A258="","",IF(OR($G258="Won",$G258="Lost"),"Closed","Open"))</f>
        <v>Open</v>
      </c>
      <c r="P258" s="35">
        <f>IF($A258="","",IF($L258&lt;&gt;"",$L258,Settings!$C$3)-INT($B258))</f>
        <v>21</v>
      </c>
      <c r="Q258" s="17">
        <f>IF($O258&lt;&gt;"Open","",Settings!$C$3-IF($J258&lt;&gt;"",$J258,INT($B258)))</f>
        <v>18</v>
      </c>
      <c r="R258" s="17" t="str">
        <f>IF($A258="","",IF($O258="Closed","Closed",IF($F258="Unassigned","Unassigned",IF(AND($K258&lt;&gt;"",$K258&lt;Settings!$C$3),"Overdue",IF($Q258&gt;=Settings!$C$4,"Inactive","On Track")))))</f>
        <v>Overdue</v>
      </c>
      <c r="S258" s="17" t="str">
        <f t="shared" ref="S258:S321" si="18">IF($O258&lt;&gt;"Open","",IF($P258&lt;=7,"0-7 days",IF($P258&lt;=15,"8-15 days",IF($P258&lt;=30,"16-30 days",IF($P258&lt;=60,"31-60 days","60+ days")))))</f>
        <v>16-30 days</v>
      </c>
      <c r="T258" s="36">
        <f t="shared" ref="T258:T321" si="19">IF($A258="","",DATE(YEAR($B258),MONTH($B258),1))</f>
        <v>46266</v>
      </c>
      <c r="U258" s="33">
        <f>IF(AND($O258="Open",OR(Dashboard!$D$3="All",$F258=Dashboard!$D$3)),$H258+ROW()/100000,0)</f>
        <v>19600.00258</v>
      </c>
    </row>
    <row r="259" spans="1:21" x14ac:dyDescent="0.25">
      <c r="A259" s="17" t="s">
        <v>486</v>
      </c>
      <c r="B259" s="32">
        <v>46293.583333333299</v>
      </c>
      <c r="C259" s="17" t="s">
        <v>62</v>
      </c>
      <c r="D259" s="17" t="s">
        <v>271</v>
      </c>
      <c r="E259" s="17" t="s">
        <v>123</v>
      </c>
      <c r="F259" s="17" t="s">
        <v>81</v>
      </c>
      <c r="G259" s="17" t="s">
        <v>47</v>
      </c>
      <c r="H259" s="33">
        <v>21400</v>
      </c>
      <c r="I259" s="32">
        <v>46293.8</v>
      </c>
      <c r="J259" s="34">
        <v>46296</v>
      </c>
      <c r="K259" s="34">
        <v>46304</v>
      </c>
      <c r="L259" s="34"/>
      <c r="M259" s="17"/>
      <c r="N259" s="17">
        <f t="shared" si="16"/>
        <v>5.2</v>
      </c>
      <c r="O259" s="17" t="str">
        <f t="shared" si="17"/>
        <v>Open</v>
      </c>
      <c r="P259" s="35">
        <f>IF($A259="","",IF($L259&lt;&gt;"",$L259,Settings!$C$3)-INT($B259))</f>
        <v>21</v>
      </c>
      <c r="Q259" s="17">
        <f>IF($O259&lt;&gt;"Open","",Settings!$C$3-IF($J259&lt;&gt;"",$J259,INT($B259)))</f>
        <v>18</v>
      </c>
      <c r="R259" s="17" t="str">
        <f>IF($A259="","",IF($O259="Closed","Closed",IF($F259="Unassigned","Unassigned",IF(AND($K259&lt;&gt;"",$K259&lt;Settings!$C$3),"Overdue",IF($Q259&gt;=Settings!$C$4,"Inactive","On Track")))))</f>
        <v>Overdue</v>
      </c>
      <c r="S259" s="17" t="str">
        <f t="shared" si="18"/>
        <v>16-30 days</v>
      </c>
      <c r="T259" s="36">
        <f t="shared" si="19"/>
        <v>46266</v>
      </c>
      <c r="U259" s="33">
        <f>IF(AND($O259="Open",OR(Dashboard!$D$3="All",$F259=Dashboard!$D$3)),$H259+ROW()/100000,0)</f>
        <v>21400.00259</v>
      </c>
    </row>
    <row r="260" spans="1:21" x14ac:dyDescent="0.25">
      <c r="A260" s="17" t="s">
        <v>487</v>
      </c>
      <c r="B260" s="32">
        <v>46293.680555555598</v>
      </c>
      <c r="C260" s="17" t="s">
        <v>64</v>
      </c>
      <c r="D260" s="17" t="s">
        <v>277</v>
      </c>
      <c r="E260" s="17" t="s">
        <v>113</v>
      </c>
      <c r="F260" s="17" t="s">
        <v>84</v>
      </c>
      <c r="G260" s="17" t="s">
        <v>46</v>
      </c>
      <c r="H260" s="33">
        <v>16300</v>
      </c>
      <c r="I260" s="32">
        <v>46295.755555555603</v>
      </c>
      <c r="J260" s="34">
        <v>46311</v>
      </c>
      <c r="K260" s="34">
        <v>46314</v>
      </c>
      <c r="L260" s="34"/>
      <c r="M260" s="17"/>
      <c r="N260" s="17">
        <f t="shared" si="16"/>
        <v>49.8</v>
      </c>
      <c r="O260" s="17" t="str">
        <f t="shared" si="17"/>
        <v>Open</v>
      </c>
      <c r="P260" s="35">
        <f>IF($A260="","",IF($L260&lt;&gt;"",$L260,Settings!$C$3)-INT($B260))</f>
        <v>21</v>
      </c>
      <c r="Q260" s="17">
        <f>IF($O260&lt;&gt;"Open","",Settings!$C$3-IF($J260&lt;&gt;"",$J260,INT($B260)))</f>
        <v>3</v>
      </c>
      <c r="R260" s="17" t="str">
        <f>IF($A260="","",IF($O260="Closed","Closed",IF($F260="Unassigned","Unassigned",IF(AND($K260&lt;&gt;"",$K260&lt;Settings!$C$3),"Overdue",IF($Q260&gt;=Settings!$C$4,"Inactive","On Track")))))</f>
        <v>On Track</v>
      </c>
      <c r="S260" s="17" t="str">
        <f t="shared" si="18"/>
        <v>16-30 days</v>
      </c>
      <c r="T260" s="36">
        <f t="shared" si="19"/>
        <v>46266</v>
      </c>
      <c r="U260" s="33">
        <f>IF(AND($O260="Open",OR(Dashboard!$D$3="All",$F260=Dashboard!$D$3)),$H260+ROW()/100000,0)</f>
        <v>16300.0026</v>
      </c>
    </row>
    <row r="261" spans="1:21" x14ac:dyDescent="0.25">
      <c r="A261" s="17" t="s">
        <v>488</v>
      </c>
      <c r="B261" s="32">
        <v>46294.451388888898</v>
      </c>
      <c r="C261" s="17" t="s">
        <v>64</v>
      </c>
      <c r="D261" s="17" t="s">
        <v>149</v>
      </c>
      <c r="E261" s="17" t="s">
        <v>110</v>
      </c>
      <c r="F261" s="17" t="s">
        <v>83</v>
      </c>
      <c r="G261" s="17" t="s">
        <v>46</v>
      </c>
      <c r="H261" s="33">
        <v>26500</v>
      </c>
      <c r="I261" s="32">
        <v>46294.6472222222</v>
      </c>
      <c r="J261" s="34">
        <v>46312</v>
      </c>
      <c r="K261" s="34">
        <v>46314</v>
      </c>
      <c r="L261" s="34"/>
      <c r="M261" s="17"/>
      <c r="N261" s="17">
        <f t="shared" si="16"/>
        <v>4.7</v>
      </c>
      <c r="O261" s="17" t="str">
        <f t="shared" si="17"/>
        <v>Open</v>
      </c>
      <c r="P261" s="35">
        <f>IF($A261="","",IF($L261&lt;&gt;"",$L261,Settings!$C$3)-INT($B261))</f>
        <v>20</v>
      </c>
      <c r="Q261" s="17">
        <f>IF($O261&lt;&gt;"Open","",Settings!$C$3-IF($J261&lt;&gt;"",$J261,INT($B261)))</f>
        <v>2</v>
      </c>
      <c r="R261" s="17" t="str">
        <f>IF($A261="","",IF($O261="Closed","Closed",IF($F261="Unassigned","Unassigned",IF(AND($K261&lt;&gt;"",$K261&lt;Settings!$C$3),"Overdue",IF($Q261&gt;=Settings!$C$4,"Inactive","On Track")))))</f>
        <v>On Track</v>
      </c>
      <c r="S261" s="17" t="str">
        <f t="shared" si="18"/>
        <v>16-30 days</v>
      </c>
      <c r="T261" s="36">
        <f t="shared" si="19"/>
        <v>46266</v>
      </c>
      <c r="U261" s="33">
        <f>IF(AND($O261="Open",OR(Dashboard!$D$3="All",$F261=Dashboard!$D$3)),$H261+ROW()/100000,0)</f>
        <v>26500.00261</v>
      </c>
    </row>
    <row r="262" spans="1:21" x14ac:dyDescent="0.25">
      <c r="A262" s="17" t="s">
        <v>489</v>
      </c>
      <c r="B262" s="32">
        <v>46295.479166666701</v>
      </c>
      <c r="C262" s="17" t="s">
        <v>66</v>
      </c>
      <c r="D262" s="17" t="s">
        <v>207</v>
      </c>
      <c r="E262" s="17" t="s">
        <v>123</v>
      </c>
      <c r="F262" s="17" t="s">
        <v>83</v>
      </c>
      <c r="G262" s="17" t="s">
        <v>46</v>
      </c>
      <c r="H262" s="33">
        <v>10700</v>
      </c>
      <c r="I262" s="32">
        <v>46295.595833333296</v>
      </c>
      <c r="J262" s="34">
        <v>46302</v>
      </c>
      <c r="K262" s="34">
        <v>46310</v>
      </c>
      <c r="L262" s="34"/>
      <c r="M262" s="17"/>
      <c r="N262" s="17">
        <f t="shared" si="16"/>
        <v>2.8</v>
      </c>
      <c r="O262" s="17" t="str">
        <f t="shared" si="17"/>
        <v>Open</v>
      </c>
      <c r="P262" s="35">
        <f>IF($A262="","",IF($L262&lt;&gt;"",$L262,Settings!$C$3)-INT($B262))</f>
        <v>19</v>
      </c>
      <c r="Q262" s="17">
        <f>IF($O262&lt;&gt;"Open","",Settings!$C$3-IF($J262&lt;&gt;"",$J262,INT($B262)))</f>
        <v>12</v>
      </c>
      <c r="R262" s="17" t="str">
        <f>IF($A262="","",IF($O262="Closed","Closed",IF($F262="Unassigned","Unassigned",IF(AND($K262&lt;&gt;"",$K262&lt;Settings!$C$3),"Overdue",IF($Q262&gt;=Settings!$C$4,"Inactive","On Track")))))</f>
        <v>Overdue</v>
      </c>
      <c r="S262" s="17" t="str">
        <f t="shared" si="18"/>
        <v>16-30 days</v>
      </c>
      <c r="T262" s="36">
        <f t="shared" si="19"/>
        <v>46266</v>
      </c>
      <c r="U262" s="33">
        <f>IF(AND($O262="Open",OR(Dashboard!$D$3="All",$F262=Dashboard!$D$3)),$H262+ROW()/100000,0)</f>
        <v>10700.002619999999</v>
      </c>
    </row>
    <row r="263" spans="1:21" x14ac:dyDescent="0.25">
      <c r="A263" s="17" t="s">
        <v>490</v>
      </c>
      <c r="B263" s="32">
        <v>46295.604166666701</v>
      </c>
      <c r="C263" s="17" t="s">
        <v>63</v>
      </c>
      <c r="D263" s="17" t="s">
        <v>127</v>
      </c>
      <c r="E263" s="17" t="s">
        <v>113</v>
      </c>
      <c r="F263" s="17" t="s">
        <v>85</v>
      </c>
      <c r="G263" s="17" t="s">
        <v>47</v>
      </c>
      <c r="H263" s="33">
        <v>25700</v>
      </c>
      <c r="I263" s="32">
        <v>46295.845833333296</v>
      </c>
      <c r="J263" s="34">
        <v>46309</v>
      </c>
      <c r="K263" s="34">
        <v>46316</v>
      </c>
      <c r="L263" s="34"/>
      <c r="M263" s="17"/>
      <c r="N263" s="17">
        <f t="shared" si="16"/>
        <v>5.8</v>
      </c>
      <c r="O263" s="17" t="str">
        <f t="shared" si="17"/>
        <v>Open</v>
      </c>
      <c r="P263" s="35">
        <f>IF($A263="","",IF($L263&lt;&gt;"",$L263,Settings!$C$3)-INT($B263))</f>
        <v>19</v>
      </c>
      <c r="Q263" s="17">
        <f>IF($O263&lt;&gt;"Open","",Settings!$C$3-IF($J263&lt;&gt;"",$J263,INT($B263)))</f>
        <v>5</v>
      </c>
      <c r="R263" s="17" t="str">
        <f>IF($A263="","",IF($O263="Closed","Closed",IF($F263="Unassigned","Unassigned",IF(AND($K263&lt;&gt;"",$K263&lt;Settings!$C$3),"Overdue",IF($Q263&gt;=Settings!$C$4,"Inactive","On Track")))))</f>
        <v>On Track</v>
      </c>
      <c r="S263" s="17" t="str">
        <f t="shared" si="18"/>
        <v>16-30 days</v>
      </c>
      <c r="T263" s="36">
        <f t="shared" si="19"/>
        <v>46266</v>
      </c>
      <c r="U263" s="33">
        <f>IF(AND($O263="Open",OR(Dashboard!$D$3="All",$F263=Dashboard!$D$3)),$H263+ROW()/100000,0)</f>
        <v>25700.002629999999</v>
      </c>
    </row>
    <row r="264" spans="1:21" x14ac:dyDescent="0.25">
      <c r="A264" s="17" t="s">
        <v>491</v>
      </c>
      <c r="B264" s="32">
        <v>46295.708333333299</v>
      </c>
      <c r="C264" s="17" t="s">
        <v>65</v>
      </c>
      <c r="D264" s="17" t="s">
        <v>137</v>
      </c>
      <c r="E264" s="17" t="s">
        <v>110</v>
      </c>
      <c r="F264" s="17" t="s">
        <v>83</v>
      </c>
      <c r="G264" s="17" t="s">
        <v>47</v>
      </c>
      <c r="H264" s="33">
        <v>8300</v>
      </c>
      <c r="I264" s="32">
        <v>46295.845833333296</v>
      </c>
      <c r="J264" s="34">
        <v>46309</v>
      </c>
      <c r="K264" s="34">
        <v>46315</v>
      </c>
      <c r="L264" s="34"/>
      <c r="M264" s="17"/>
      <c r="N264" s="17">
        <f t="shared" si="16"/>
        <v>3.3</v>
      </c>
      <c r="O264" s="17" t="str">
        <f t="shared" si="17"/>
        <v>Open</v>
      </c>
      <c r="P264" s="35">
        <f>IF($A264="","",IF($L264&lt;&gt;"",$L264,Settings!$C$3)-INT($B264))</f>
        <v>19</v>
      </c>
      <c r="Q264" s="17">
        <f>IF($O264&lt;&gt;"Open","",Settings!$C$3-IF($J264&lt;&gt;"",$J264,INT($B264)))</f>
        <v>5</v>
      </c>
      <c r="R264" s="17" t="str">
        <f>IF($A264="","",IF($O264="Closed","Closed",IF($F264="Unassigned","Unassigned",IF(AND($K264&lt;&gt;"",$K264&lt;Settings!$C$3),"Overdue",IF($Q264&gt;=Settings!$C$4,"Inactive","On Track")))))</f>
        <v>On Track</v>
      </c>
      <c r="S264" s="17" t="str">
        <f t="shared" si="18"/>
        <v>16-30 days</v>
      </c>
      <c r="T264" s="36">
        <f t="shared" si="19"/>
        <v>46266</v>
      </c>
      <c r="U264" s="33">
        <f>IF(AND($O264="Open",OR(Dashboard!$D$3="All",$F264=Dashboard!$D$3)),$H264+ROW()/100000,0)</f>
        <v>8300.0026400000006</v>
      </c>
    </row>
    <row r="265" spans="1:21" x14ac:dyDescent="0.25">
      <c r="A265" s="17" t="s">
        <v>492</v>
      </c>
      <c r="B265" s="32">
        <v>46296.388888888898</v>
      </c>
      <c r="C265" s="17" t="s">
        <v>69</v>
      </c>
      <c r="D265" s="17" t="s">
        <v>293</v>
      </c>
      <c r="E265" s="17" t="s">
        <v>113</v>
      </c>
      <c r="F265" s="17" t="s">
        <v>84</v>
      </c>
      <c r="G265" s="17" t="s">
        <v>48</v>
      </c>
      <c r="H265" s="33">
        <v>64300</v>
      </c>
      <c r="I265" s="32">
        <v>46296.634722222203</v>
      </c>
      <c r="J265" s="34">
        <v>46296</v>
      </c>
      <c r="K265" s="34">
        <v>46299</v>
      </c>
      <c r="L265" s="34"/>
      <c r="M265" s="17"/>
      <c r="N265" s="17">
        <f t="shared" si="16"/>
        <v>5.9</v>
      </c>
      <c r="O265" s="17" t="str">
        <f t="shared" si="17"/>
        <v>Open</v>
      </c>
      <c r="P265" s="35">
        <f>IF($A265="","",IF($L265&lt;&gt;"",$L265,Settings!$C$3)-INT($B265))</f>
        <v>18</v>
      </c>
      <c r="Q265" s="17">
        <f>IF($O265&lt;&gt;"Open","",Settings!$C$3-IF($J265&lt;&gt;"",$J265,INT($B265)))</f>
        <v>18</v>
      </c>
      <c r="R265" s="17" t="str">
        <f>IF($A265="","",IF($O265="Closed","Closed",IF($F265="Unassigned","Unassigned",IF(AND($K265&lt;&gt;"",$K265&lt;Settings!$C$3),"Overdue",IF($Q265&gt;=Settings!$C$4,"Inactive","On Track")))))</f>
        <v>Overdue</v>
      </c>
      <c r="S265" s="17" t="str">
        <f t="shared" si="18"/>
        <v>16-30 days</v>
      </c>
      <c r="T265" s="36">
        <f t="shared" si="19"/>
        <v>46296</v>
      </c>
      <c r="U265" s="33">
        <f>IF(AND($O265="Open",OR(Dashboard!$D$3="All",$F265=Dashboard!$D$3)),$H265+ROW()/100000,0)</f>
        <v>64300.002650000002</v>
      </c>
    </row>
    <row r="266" spans="1:21" x14ac:dyDescent="0.25">
      <c r="A266" s="17" t="s">
        <v>493</v>
      </c>
      <c r="B266" s="32">
        <v>46296.604166666701</v>
      </c>
      <c r="C266" s="17" t="s">
        <v>66</v>
      </c>
      <c r="D266" s="17" t="s">
        <v>237</v>
      </c>
      <c r="E266" s="17" t="s">
        <v>116</v>
      </c>
      <c r="F266" s="17" t="s">
        <v>85</v>
      </c>
      <c r="G266" s="17" t="s">
        <v>18</v>
      </c>
      <c r="H266" s="33">
        <v>36000</v>
      </c>
      <c r="I266" s="32">
        <v>46296.729166666701</v>
      </c>
      <c r="J266" s="34">
        <v>46302</v>
      </c>
      <c r="K266" s="34"/>
      <c r="L266" s="34">
        <v>46302</v>
      </c>
      <c r="M266" s="17" t="s">
        <v>73</v>
      </c>
      <c r="N266" s="17">
        <f t="shared" si="16"/>
        <v>3</v>
      </c>
      <c r="O266" s="17" t="str">
        <f t="shared" si="17"/>
        <v>Closed</v>
      </c>
      <c r="P266" s="35">
        <f>IF($A266="","",IF($L266&lt;&gt;"",$L266,Settings!$C$3)-INT($B266))</f>
        <v>6</v>
      </c>
      <c r="Q266" s="17" t="str">
        <f>IF($O266&lt;&gt;"Open","",Settings!$C$3-IF($J266&lt;&gt;"",$J266,INT($B266)))</f>
        <v/>
      </c>
      <c r="R266" s="17" t="str">
        <f>IF($A266="","",IF($O266="Closed","Closed",IF($F266="Unassigned","Unassigned",IF(AND($K266&lt;&gt;"",$K266&lt;Settings!$C$3),"Overdue",IF($Q266&gt;=Settings!$C$4,"Inactive","On Track")))))</f>
        <v>Closed</v>
      </c>
      <c r="S266" s="17" t="str">
        <f t="shared" si="18"/>
        <v/>
      </c>
      <c r="T266" s="36">
        <f t="shared" si="19"/>
        <v>46296</v>
      </c>
      <c r="U266" s="33">
        <f>IF(AND($O266="Open",OR(Dashboard!$D$3="All",$F266=Dashboard!$D$3)),$H266+ROW()/100000,0)</f>
        <v>0</v>
      </c>
    </row>
    <row r="267" spans="1:21" x14ac:dyDescent="0.25">
      <c r="A267" s="17" t="s">
        <v>494</v>
      </c>
      <c r="B267" s="32">
        <v>46296.694444444503</v>
      </c>
      <c r="C267" s="17" t="s">
        <v>69</v>
      </c>
      <c r="D267" s="17" t="s">
        <v>151</v>
      </c>
      <c r="E267" s="17" t="s">
        <v>110</v>
      </c>
      <c r="F267" s="17" t="s">
        <v>81</v>
      </c>
      <c r="G267" s="17" t="s">
        <v>17</v>
      </c>
      <c r="H267" s="33">
        <v>68800</v>
      </c>
      <c r="I267" s="32">
        <v>46296.881944444503</v>
      </c>
      <c r="J267" s="34">
        <v>46304</v>
      </c>
      <c r="K267" s="34"/>
      <c r="L267" s="34">
        <v>46304</v>
      </c>
      <c r="M267" s="17"/>
      <c r="N267" s="17">
        <f t="shared" si="16"/>
        <v>4.5</v>
      </c>
      <c r="O267" s="17" t="str">
        <f t="shared" si="17"/>
        <v>Closed</v>
      </c>
      <c r="P267" s="35">
        <f>IF($A267="","",IF($L267&lt;&gt;"",$L267,Settings!$C$3)-INT($B267))</f>
        <v>8</v>
      </c>
      <c r="Q267" s="17" t="str">
        <f>IF($O267&lt;&gt;"Open","",Settings!$C$3-IF($J267&lt;&gt;"",$J267,INT($B267)))</f>
        <v/>
      </c>
      <c r="R267" s="17" t="str">
        <f>IF($A267="","",IF($O267="Closed","Closed",IF($F267="Unassigned","Unassigned",IF(AND($K267&lt;&gt;"",$K267&lt;Settings!$C$3),"Overdue",IF($Q267&gt;=Settings!$C$4,"Inactive","On Track")))))</f>
        <v>Closed</v>
      </c>
      <c r="S267" s="17" t="str">
        <f t="shared" si="18"/>
        <v/>
      </c>
      <c r="T267" s="36">
        <f t="shared" si="19"/>
        <v>46296</v>
      </c>
      <c r="U267" s="33">
        <f>IF(AND($O267="Open",OR(Dashboard!$D$3="All",$F267=Dashboard!$D$3)),$H267+ROW()/100000,0)</f>
        <v>0</v>
      </c>
    </row>
    <row r="268" spans="1:21" x14ac:dyDescent="0.25">
      <c r="A268" s="17" t="s">
        <v>495</v>
      </c>
      <c r="B268" s="32">
        <v>46297.479166666701</v>
      </c>
      <c r="C268" s="17" t="s">
        <v>62</v>
      </c>
      <c r="D268" s="17" t="s">
        <v>129</v>
      </c>
      <c r="E268" s="17" t="s">
        <v>116</v>
      </c>
      <c r="F268" s="17" t="s">
        <v>84</v>
      </c>
      <c r="G268" s="17" t="s">
        <v>46</v>
      </c>
      <c r="H268" s="33">
        <v>10300</v>
      </c>
      <c r="I268" s="32">
        <v>46298.254166666702</v>
      </c>
      <c r="J268" s="34">
        <v>46306</v>
      </c>
      <c r="K268" s="34">
        <v>46312</v>
      </c>
      <c r="L268" s="34"/>
      <c r="M268" s="17"/>
      <c r="N268" s="17">
        <f t="shared" si="16"/>
        <v>18.600000000000001</v>
      </c>
      <c r="O268" s="17" t="str">
        <f t="shared" si="17"/>
        <v>Open</v>
      </c>
      <c r="P268" s="35">
        <f>IF($A268="","",IF($L268&lt;&gt;"",$L268,Settings!$C$3)-INT($B268))</f>
        <v>17</v>
      </c>
      <c r="Q268" s="17">
        <f>IF($O268&lt;&gt;"Open","",Settings!$C$3-IF($J268&lt;&gt;"",$J268,INT($B268)))</f>
        <v>8</v>
      </c>
      <c r="R268" s="17" t="str">
        <f>IF($A268="","",IF($O268="Closed","Closed",IF($F268="Unassigned","Unassigned",IF(AND($K268&lt;&gt;"",$K268&lt;Settings!$C$3),"Overdue",IF($Q268&gt;=Settings!$C$4,"Inactive","On Track")))))</f>
        <v>Overdue</v>
      </c>
      <c r="S268" s="17" t="str">
        <f t="shared" si="18"/>
        <v>16-30 days</v>
      </c>
      <c r="T268" s="36">
        <f t="shared" si="19"/>
        <v>46296</v>
      </c>
      <c r="U268" s="33">
        <f>IF(AND($O268="Open",OR(Dashboard!$D$3="All",$F268=Dashboard!$D$3)),$H268+ROW()/100000,0)</f>
        <v>10300.00268</v>
      </c>
    </row>
    <row r="269" spans="1:21" x14ac:dyDescent="0.25">
      <c r="A269" s="17" t="s">
        <v>496</v>
      </c>
      <c r="B269" s="32">
        <v>46297.666666666701</v>
      </c>
      <c r="C269" s="17" t="s">
        <v>66</v>
      </c>
      <c r="D269" s="17" t="s">
        <v>197</v>
      </c>
      <c r="E269" s="17" t="s">
        <v>110</v>
      </c>
      <c r="F269" s="17" t="s">
        <v>85</v>
      </c>
      <c r="G269" s="17" t="s">
        <v>48</v>
      </c>
      <c r="H269" s="33">
        <v>12500</v>
      </c>
      <c r="I269" s="32">
        <v>46297.958333333299</v>
      </c>
      <c r="J269" s="34">
        <v>46312</v>
      </c>
      <c r="K269" s="34">
        <v>46318</v>
      </c>
      <c r="L269" s="34"/>
      <c r="M269" s="17"/>
      <c r="N269" s="17">
        <f t="shared" si="16"/>
        <v>7</v>
      </c>
      <c r="O269" s="17" t="str">
        <f t="shared" si="17"/>
        <v>Open</v>
      </c>
      <c r="P269" s="35">
        <f>IF($A269="","",IF($L269&lt;&gt;"",$L269,Settings!$C$3)-INT($B269))</f>
        <v>17</v>
      </c>
      <c r="Q269" s="17">
        <f>IF($O269&lt;&gt;"Open","",Settings!$C$3-IF($J269&lt;&gt;"",$J269,INT($B269)))</f>
        <v>2</v>
      </c>
      <c r="R269" s="17" t="str">
        <f>IF($A269="","",IF($O269="Closed","Closed",IF($F269="Unassigned","Unassigned",IF(AND($K269&lt;&gt;"",$K269&lt;Settings!$C$3),"Overdue",IF($Q269&gt;=Settings!$C$4,"Inactive","On Track")))))</f>
        <v>On Track</v>
      </c>
      <c r="S269" s="17" t="str">
        <f t="shared" si="18"/>
        <v>16-30 days</v>
      </c>
      <c r="T269" s="36">
        <f t="shared" si="19"/>
        <v>46296</v>
      </c>
      <c r="U269" s="33">
        <f>IF(AND($O269="Open",OR(Dashboard!$D$3="All",$F269=Dashboard!$D$3)),$H269+ROW()/100000,0)</f>
        <v>12500.002689999999</v>
      </c>
    </row>
    <row r="270" spans="1:21" x14ac:dyDescent="0.25">
      <c r="A270" s="17" t="s">
        <v>497</v>
      </c>
      <c r="B270" s="32">
        <v>46298.375</v>
      </c>
      <c r="C270" s="17" t="s">
        <v>63</v>
      </c>
      <c r="D270" s="17" t="s">
        <v>229</v>
      </c>
      <c r="E270" s="17" t="s">
        <v>123</v>
      </c>
      <c r="F270" s="17" t="s">
        <v>85</v>
      </c>
      <c r="G270" s="17" t="s">
        <v>46</v>
      </c>
      <c r="H270" s="33">
        <v>33200</v>
      </c>
      <c r="I270" s="32">
        <v>46298.75</v>
      </c>
      <c r="J270" s="34">
        <v>46311</v>
      </c>
      <c r="K270" s="34">
        <v>46316</v>
      </c>
      <c r="L270" s="34"/>
      <c r="M270" s="17"/>
      <c r="N270" s="17">
        <f t="shared" si="16"/>
        <v>9</v>
      </c>
      <c r="O270" s="17" t="str">
        <f t="shared" si="17"/>
        <v>Open</v>
      </c>
      <c r="P270" s="35">
        <f>IF($A270="","",IF($L270&lt;&gt;"",$L270,Settings!$C$3)-INT($B270))</f>
        <v>16</v>
      </c>
      <c r="Q270" s="17">
        <f>IF($O270&lt;&gt;"Open","",Settings!$C$3-IF($J270&lt;&gt;"",$J270,INT($B270)))</f>
        <v>3</v>
      </c>
      <c r="R270" s="17" t="str">
        <f>IF($A270="","",IF($O270="Closed","Closed",IF($F270="Unassigned","Unassigned",IF(AND($K270&lt;&gt;"",$K270&lt;Settings!$C$3),"Overdue",IF($Q270&gt;=Settings!$C$4,"Inactive","On Track")))))</f>
        <v>On Track</v>
      </c>
      <c r="S270" s="17" t="str">
        <f t="shared" si="18"/>
        <v>16-30 days</v>
      </c>
      <c r="T270" s="36">
        <f t="shared" si="19"/>
        <v>46296</v>
      </c>
      <c r="U270" s="33">
        <f>IF(AND($O270="Open",OR(Dashboard!$D$3="All",$F270=Dashboard!$D$3)),$H270+ROW()/100000,0)</f>
        <v>33200.002699999997</v>
      </c>
    </row>
    <row r="271" spans="1:21" x14ac:dyDescent="0.25">
      <c r="A271" s="17" t="s">
        <v>498</v>
      </c>
      <c r="B271" s="32">
        <v>46298.423611111102</v>
      </c>
      <c r="C271" s="17" t="s">
        <v>64</v>
      </c>
      <c r="D271" s="17" t="s">
        <v>199</v>
      </c>
      <c r="E271" s="17" t="s">
        <v>116</v>
      </c>
      <c r="F271" s="17" t="s">
        <v>82</v>
      </c>
      <c r="G271" s="17" t="s">
        <v>46</v>
      </c>
      <c r="H271" s="33">
        <v>36400</v>
      </c>
      <c r="I271" s="32">
        <v>46299.006944444503</v>
      </c>
      <c r="J271" s="34">
        <v>46309</v>
      </c>
      <c r="K271" s="34">
        <v>46316</v>
      </c>
      <c r="L271" s="34"/>
      <c r="M271" s="17"/>
      <c r="N271" s="17">
        <f t="shared" si="16"/>
        <v>14</v>
      </c>
      <c r="O271" s="17" t="str">
        <f t="shared" si="17"/>
        <v>Open</v>
      </c>
      <c r="P271" s="35">
        <f>IF($A271="","",IF($L271&lt;&gt;"",$L271,Settings!$C$3)-INT($B271))</f>
        <v>16</v>
      </c>
      <c r="Q271" s="17">
        <f>IF($O271&lt;&gt;"Open","",Settings!$C$3-IF($J271&lt;&gt;"",$J271,INT($B271)))</f>
        <v>5</v>
      </c>
      <c r="R271" s="17" t="str">
        <f>IF($A271="","",IF($O271="Closed","Closed",IF($F271="Unassigned","Unassigned",IF(AND($K271&lt;&gt;"",$K271&lt;Settings!$C$3),"Overdue",IF($Q271&gt;=Settings!$C$4,"Inactive","On Track")))))</f>
        <v>On Track</v>
      </c>
      <c r="S271" s="17" t="str">
        <f t="shared" si="18"/>
        <v>16-30 days</v>
      </c>
      <c r="T271" s="36">
        <f t="shared" si="19"/>
        <v>46296</v>
      </c>
      <c r="U271" s="33">
        <f>IF(AND($O271="Open",OR(Dashboard!$D$3="All",$F271=Dashboard!$D$3)),$H271+ROW()/100000,0)</f>
        <v>36400.002710000001</v>
      </c>
    </row>
    <row r="272" spans="1:21" x14ac:dyDescent="0.25">
      <c r="A272" s="17" t="s">
        <v>499</v>
      </c>
      <c r="B272" s="32">
        <v>46298.465277777803</v>
      </c>
      <c r="C272" s="17" t="s">
        <v>63</v>
      </c>
      <c r="D272" s="17" t="s">
        <v>287</v>
      </c>
      <c r="E272" s="17" t="s">
        <v>110</v>
      </c>
      <c r="F272" s="17" t="s">
        <v>81</v>
      </c>
      <c r="G272" s="17" t="s">
        <v>46</v>
      </c>
      <c r="H272" s="33">
        <v>19200</v>
      </c>
      <c r="I272" s="32">
        <v>46299.2902777778</v>
      </c>
      <c r="J272" s="34">
        <v>46312</v>
      </c>
      <c r="K272" s="34">
        <v>46320</v>
      </c>
      <c r="L272" s="34"/>
      <c r="M272" s="17"/>
      <c r="N272" s="17">
        <f t="shared" si="16"/>
        <v>19.8</v>
      </c>
      <c r="O272" s="17" t="str">
        <f t="shared" si="17"/>
        <v>Open</v>
      </c>
      <c r="P272" s="35">
        <f>IF($A272="","",IF($L272&lt;&gt;"",$L272,Settings!$C$3)-INT($B272))</f>
        <v>16</v>
      </c>
      <c r="Q272" s="17">
        <f>IF($O272&lt;&gt;"Open","",Settings!$C$3-IF($J272&lt;&gt;"",$J272,INT($B272)))</f>
        <v>2</v>
      </c>
      <c r="R272" s="17" t="str">
        <f>IF($A272="","",IF($O272="Closed","Closed",IF($F272="Unassigned","Unassigned",IF(AND($K272&lt;&gt;"",$K272&lt;Settings!$C$3),"Overdue",IF($Q272&gt;=Settings!$C$4,"Inactive","On Track")))))</f>
        <v>On Track</v>
      </c>
      <c r="S272" s="17" t="str">
        <f t="shared" si="18"/>
        <v>16-30 days</v>
      </c>
      <c r="T272" s="36">
        <f t="shared" si="19"/>
        <v>46296</v>
      </c>
      <c r="U272" s="33">
        <f>IF(AND($O272="Open",OR(Dashboard!$D$3="All",$F272=Dashboard!$D$3)),$H272+ROW()/100000,0)</f>
        <v>19200.00272</v>
      </c>
    </row>
    <row r="273" spans="1:21" x14ac:dyDescent="0.25">
      <c r="A273" s="17" t="s">
        <v>500</v>
      </c>
      <c r="B273" s="32">
        <v>46298.631944444503</v>
      </c>
      <c r="C273" s="17" t="s">
        <v>64</v>
      </c>
      <c r="D273" s="17" t="s">
        <v>142</v>
      </c>
      <c r="E273" s="17" t="s">
        <v>123</v>
      </c>
      <c r="F273" s="17" t="s">
        <v>83</v>
      </c>
      <c r="G273" s="17" t="s">
        <v>46</v>
      </c>
      <c r="H273" s="33">
        <v>21000</v>
      </c>
      <c r="I273" s="32">
        <v>46298.836111111101</v>
      </c>
      <c r="J273" s="34">
        <v>46298</v>
      </c>
      <c r="K273" s="34">
        <v>46307</v>
      </c>
      <c r="L273" s="34"/>
      <c r="M273" s="17"/>
      <c r="N273" s="17">
        <f t="shared" si="16"/>
        <v>4.9000000000000004</v>
      </c>
      <c r="O273" s="17" t="str">
        <f t="shared" si="17"/>
        <v>Open</v>
      </c>
      <c r="P273" s="35">
        <f>IF($A273="","",IF($L273&lt;&gt;"",$L273,Settings!$C$3)-INT($B273))</f>
        <v>16</v>
      </c>
      <c r="Q273" s="17">
        <f>IF($O273&lt;&gt;"Open","",Settings!$C$3-IF($J273&lt;&gt;"",$J273,INT($B273)))</f>
        <v>16</v>
      </c>
      <c r="R273" s="17" t="str">
        <f>IF($A273="","",IF($O273="Closed","Closed",IF($F273="Unassigned","Unassigned",IF(AND($K273&lt;&gt;"",$K273&lt;Settings!$C$3),"Overdue",IF($Q273&gt;=Settings!$C$4,"Inactive","On Track")))))</f>
        <v>Overdue</v>
      </c>
      <c r="S273" s="17" t="str">
        <f t="shared" si="18"/>
        <v>16-30 days</v>
      </c>
      <c r="T273" s="36">
        <f t="shared" si="19"/>
        <v>46296</v>
      </c>
      <c r="U273" s="33">
        <f>IF(AND($O273="Open",OR(Dashboard!$D$3="All",$F273=Dashboard!$D$3)),$H273+ROW()/100000,0)</f>
        <v>21000.00273</v>
      </c>
    </row>
    <row r="274" spans="1:21" x14ac:dyDescent="0.25">
      <c r="A274" s="17" t="s">
        <v>501</v>
      </c>
      <c r="B274" s="32">
        <v>46298.701388888898</v>
      </c>
      <c r="C274" s="17" t="s">
        <v>67</v>
      </c>
      <c r="D274" s="17" t="s">
        <v>223</v>
      </c>
      <c r="E274" s="17" t="s">
        <v>147</v>
      </c>
      <c r="F274" s="17" t="s">
        <v>82</v>
      </c>
      <c r="G274" s="17" t="s">
        <v>17</v>
      </c>
      <c r="H274" s="33">
        <v>14000</v>
      </c>
      <c r="I274" s="32">
        <v>46299.884722222203</v>
      </c>
      <c r="J274" s="34">
        <v>46314</v>
      </c>
      <c r="K274" s="34"/>
      <c r="L274" s="34">
        <v>46314</v>
      </c>
      <c r="M274" s="17"/>
      <c r="N274" s="17">
        <f t="shared" si="16"/>
        <v>28.4</v>
      </c>
      <c r="O274" s="17" t="str">
        <f t="shared" si="17"/>
        <v>Closed</v>
      </c>
      <c r="P274" s="35">
        <f>IF($A274="","",IF($L274&lt;&gt;"",$L274,Settings!$C$3)-INT($B274))</f>
        <v>16</v>
      </c>
      <c r="Q274" s="17" t="str">
        <f>IF($O274&lt;&gt;"Open","",Settings!$C$3-IF($J274&lt;&gt;"",$J274,INT($B274)))</f>
        <v/>
      </c>
      <c r="R274" s="17" t="str">
        <f>IF($A274="","",IF($O274="Closed","Closed",IF($F274="Unassigned","Unassigned",IF(AND($K274&lt;&gt;"",$K274&lt;Settings!$C$3),"Overdue",IF($Q274&gt;=Settings!$C$4,"Inactive","On Track")))))</f>
        <v>Closed</v>
      </c>
      <c r="S274" s="17" t="str">
        <f t="shared" si="18"/>
        <v/>
      </c>
      <c r="T274" s="36">
        <f t="shared" si="19"/>
        <v>46296</v>
      </c>
      <c r="U274" s="33">
        <f>IF(AND($O274="Open",OR(Dashboard!$D$3="All",$F274=Dashboard!$D$3)),$H274+ROW()/100000,0)</f>
        <v>0</v>
      </c>
    </row>
    <row r="275" spans="1:21" x14ac:dyDescent="0.25">
      <c r="A275" s="17" t="s">
        <v>502</v>
      </c>
      <c r="B275" s="32">
        <v>46298.729166666701</v>
      </c>
      <c r="C275" s="17" t="s">
        <v>63</v>
      </c>
      <c r="D275" s="17" t="s">
        <v>229</v>
      </c>
      <c r="E275" s="17" t="s">
        <v>113</v>
      </c>
      <c r="F275" s="17" t="s">
        <v>83</v>
      </c>
      <c r="G275" s="17" t="s">
        <v>48</v>
      </c>
      <c r="H275" s="33">
        <v>5700</v>
      </c>
      <c r="I275" s="32">
        <v>46299.304166666698</v>
      </c>
      <c r="J275" s="34">
        <v>46311</v>
      </c>
      <c r="K275" s="34">
        <v>46318</v>
      </c>
      <c r="L275" s="34"/>
      <c r="M275" s="17"/>
      <c r="N275" s="17">
        <f t="shared" si="16"/>
        <v>13.8</v>
      </c>
      <c r="O275" s="17" t="str">
        <f t="shared" si="17"/>
        <v>Open</v>
      </c>
      <c r="P275" s="35">
        <f>IF($A275="","",IF($L275&lt;&gt;"",$L275,Settings!$C$3)-INT($B275))</f>
        <v>16</v>
      </c>
      <c r="Q275" s="17">
        <f>IF($O275&lt;&gt;"Open","",Settings!$C$3-IF($J275&lt;&gt;"",$J275,INT($B275)))</f>
        <v>3</v>
      </c>
      <c r="R275" s="17" t="str">
        <f>IF($A275="","",IF($O275="Closed","Closed",IF($F275="Unassigned","Unassigned",IF(AND($K275&lt;&gt;"",$K275&lt;Settings!$C$3),"Overdue",IF($Q275&gt;=Settings!$C$4,"Inactive","On Track")))))</f>
        <v>On Track</v>
      </c>
      <c r="S275" s="17" t="str">
        <f t="shared" si="18"/>
        <v>16-30 days</v>
      </c>
      <c r="T275" s="36">
        <f t="shared" si="19"/>
        <v>46296</v>
      </c>
      <c r="U275" s="33">
        <f>IF(AND($O275="Open",OR(Dashboard!$D$3="All",$F275=Dashboard!$D$3)),$H275+ROW()/100000,0)</f>
        <v>5700.0027499999997</v>
      </c>
    </row>
    <row r="276" spans="1:21" x14ac:dyDescent="0.25">
      <c r="A276" s="17" t="s">
        <v>503</v>
      </c>
      <c r="B276" s="32">
        <v>46299.375</v>
      </c>
      <c r="C276" s="17" t="s">
        <v>64</v>
      </c>
      <c r="D276" s="17" t="s">
        <v>189</v>
      </c>
      <c r="E276" s="17" t="s">
        <v>110</v>
      </c>
      <c r="F276" s="17" t="s">
        <v>84</v>
      </c>
      <c r="G276" s="17" t="s">
        <v>47</v>
      </c>
      <c r="H276" s="33">
        <v>24400</v>
      </c>
      <c r="I276" s="32">
        <v>46299.862500000003</v>
      </c>
      <c r="J276" s="34">
        <v>46309</v>
      </c>
      <c r="K276" s="34">
        <v>46313</v>
      </c>
      <c r="L276" s="34"/>
      <c r="M276" s="17"/>
      <c r="N276" s="17">
        <f t="shared" si="16"/>
        <v>11.7</v>
      </c>
      <c r="O276" s="17" t="str">
        <f t="shared" si="17"/>
        <v>Open</v>
      </c>
      <c r="P276" s="35">
        <f>IF($A276="","",IF($L276&lt;&gt;"",$L276,Settings!$C$3)-INT($B276))</f>
        <v>15</v>
      </c>
      <c r="Q276" s="17">
        <f>IF($O276&lt;&gt;"Open","",Settings!$C$3-IF($J276&lt;&gt;"",$J276,INT($B276)))</f>
        <v>5</v>
      </c>
      <c r="R276" s="17" t="str">
        <f>IF($A276="","",IF($O276="Closed","Closed",IF($F276="Unassigned","Unassigned",IF(AND($K276&lt;&gt;"",$K276&lt;Settings!$C$3),"Overdue",IF($Q276&gt;=Settings!$C$4,"Inactive","On Track")))))</f>
        <v>Overdue</v>
      </c>
      <c r="S276" s="17" t="str">
        <f t="shared" si="18"/>
        <v>8-15 days</v>
      </c>
      <c r="T276" s="36">
        <f t="shared" si="19"/>
        <v>46296</v>
      </c>
      <c r="U276" s="33">
        <f>IF(AND($O276="Open",OR(Dashboard!$D$3="All",$F276=Dashboard!$D$3)),$H276+ROW()/100000,0)</f>
        <v>24400.002759999999</v>
      </c>
    </row>
    <row r="277" spans="1:21" x14ac:dyDescent="0.25">
      <c r="A277" s="17" t="s">
        <v>504</v>
      </c>
      <c r="B277" s="32">
        <v>46299.395833333299</v>
      </c>
      <c r="C277" s="17" t="s">
        <v>64</v>
      </c>
      <c r="D277" s="17" t="s">
        <v>235</v>
      </c>
      <c r="E277" s="17" t="s">
        <v>123</v>
      </c>
      <c r="F277" s="17" t="s">
        <v>82</v>
      </c>
      <c r="G277" s="17" t="s">
        <v>47</v>
      </c>
      <c r="H277" s="33">
        <v>68500</v>
      </c>
      <c r="I277" s="32">
        <v>46299.85</v>
      </c>
      <c r="J277" s="34">
        <v>46306</v>
      </c>
      <c r="K277" s="34">
        <v>46312</v>
      </c>
      <c r="L277" s="34"/>
      <c r="M277" s="17"/>
      <c r="N277" s="17">
        <f t="shared" si="16"/>
        <v>10.9</v>
      </c>
      <c r="O277" s="17" t="str">
        <f t="shared" si="17"/>
        <v>Open</v>
      </c>
      <c r="P277" s="35">
        <f>IF($A277="","",IF($L277&lt;&gt;"",$L277,Settings!$C$3)-INT($B277))</f>
        <v>15</v>
      </c>
      <c r="Q277" s="17">
        <f>IF($O277&lt;&gt;"Open","",Settings!$C$3-IF($J277&lt;&gt;"",$J277,INT($B277)))</f>
        <v>8</v>
      </c>
      <c r="R277" s="17" t="str">
        <f>IF($A277="","",IF($O277="Closed","Closed",IF($F277="Unassigned","Unassigned",IF(AND($K277&lt;&gt;"",$K277&lt;Settings!$C$3),"Overdue",IF($Q277&gt;=Settings!$C$4,"Inactive","On Track")))))</f>
        <v>Overdue</v>
      </c>
      <c r="S277" s="17" t="str">
        <f t="shared" si="18"/>
        <v>8-15 days</v>
      </c>
      <c r="T277" s="36">
        <f t="shared" si="19"/>
        <v>46296</v>
      </c>
      <c r="U277" s="33">
        <f>IF(AND($O277="Open",OR(Dashboard!$D$3="All",$F277=Dashboard!$D$3)),$H277+ROW()/100000,0)</f>
        <v>68500.002770000006</v>
      </c>
    </row>
    <row r="278" spans="1:21" x14ac:dyDescent="0.25">
      <c r="A278" s="17" t="s">
        <v>505</v>
      </c>
      <c r="B278" s="32">
        <v>46299.625</v>
      </c>
      <c r="C278" s="17" t="s">
        <v>63</v>
      </c>
      <c r="D278" s="17" t="s">
        <v>311</v>
      </c>
      <c r="E278" s="17" t="s">
        <v>123</v>
      </c>
      <c r="F278" s="17" t="s">
        <v>80</v>
      </c>
      <c r="G278" s="17" t="s">
        <v>47</v>
      </c>
      <c r="H278" s="33">
        <v>11900</v>
      </c>
      <c r="I278" s="32">
        <v>46300.191666666702</v>
      </c>
      <c r="J278" s="34">
        <v>46313</v>
      </c>
      <c r="K278" s="34">
        <v>46315</v>
      </c>
      <c r="L278" s="34"/>
      <c r="M278" s="17"/>
      <c r="N278" s="17">
        <f t="shared" si="16"/>
        <v>13.6</v>
      </c>
      <c r="O278" s="17" t="str">
        <f t="shared" si="17"/>
        <v>Open</v>
      </c>
      <c r="P278" s="35">
        <f>IF($A278="","",IF($L278&lt;&gt;"",$L278,Settings!$C$3)-INT($B278))</f>
        <v>15</v>
      </c>
      <c r="Q278" s="17">
        <f>IF($O278&lt;&gt;"Open","",Settings!$C$3-IF($J278&lt;&gt;"",$J278,INT($B278)))</f>
        <v>1</v>
      </c>
      <c r="R278" s="17" t="str">
        <f>IF($A278="","",IF($O278="Closed","Closed",IF($F278="Unassigned","Unassigned",IF(AND($K278&lt;&gt;"",$K278&lt;Settings!$C$3),"Overdue",IF($Q278&gt;=Settings!$C$4,"Inactive","On Track")))))</f>
        <v>On Track</v>
      </c>
      <c r="S278" s="17" t="str">
        <f t="shared" si="18"/>
        <v>8-15 days</v>
      </c>
      <c r="T278" s="36">
        <f t="shared" si="19"/>
        <v>46296</v>
      </c>
      <c r="U278" s="33">
        <f>IF(AND($O278="Open",OR(Dashboard!$D$3="All",$F278=Dashboard!$D$3)),$H278+ROW()/100000,0)</f>
        <v>11900.002780000001</v>
      </c>
    </row>
    <row r="279" spans="1:21" x14ac:dyDescent="0.25">
      <c r="A279" s="17" t="s">
        <v>506</v>
      </c>
      <c r="B279" s="32">
        <v>46300.375</v>
      </c>
      <c r="C279" s="17" t="s">
        <v>68</v>
      </c>
      <c r="D279" s="17" t="s">
        <v>313</v>
      </c>
      <c r="E279" s="17" t="s">
        <v>147</v>
      </c>
      <c r="F279" s="17" t="s">
        <v>80</v>
      </c>
      <c r="G279" s="17" t="s">
        <v>18</v>
      </c>
      <c r="H279" s="33">
        <v>94900</v>
      </c>
      <c r="I279" s="32">
        <v>46300.566666666702</v>
      </c>
      <c r="J279" s="34">
        <v>46314</v>
      </c>
      <c r="K279" s="34"/>
      <c r="L279" s="34">
        <v>46314</v>
      </c>
      <c r="M279" s="17" t="s">
        <v>78</v>
      </c>
      <c r="N279" s="17">
        <f t="shared" si="16"/>
        <v>4.5999999999999996</v>
      </c>
      <c r="O279" s="17" t="str">
        <f t="shared" si="17"/>
        <v>Closed</v>
      </c>
      <c r="P279" s="35">
        <f>IF($A279="","",IF($L279&lt;&gt;"",$L279,Settings!$C$3)-INT($B279))</f>
        <v>14</v>
      </c>
      <c r="Q279" s="17" t="str">
        <f>IF($O279&lt;&gt;"Open","",Settings!$C$3-IF($J279&lt;&gt;"",$J279,INT($B279)))</f>
        <v/>
      </c>
      <c r="R279" s="17" t="str">
        <f>IF($A279="","",IF($O279="Closed","Closed",IF($F279="Unassigned","Unassigned",IF(AND($K279&lt;&gt;"",$K279&lt;Settings!$C$3),"Overdue",IF($Q279&gt;=Settings!$C$4,"Inactive","On Track")))))</f>
        <v>Closed</v>
      </c>
      <c r="S279" s="17" t="str">
        <f t="shared" si="18"/>
        <v/>
      </c>
      <c r="T279" s="36">
        <f t="shared" si="19"/>
        <v>46296</v>
      </c>
      <c r="U279" s="33">
        <f>IF(AND($O279="Open",OR(Dashboard!$D$3="All",$F279=Dashboard!$D$3)),$H279+ROW()/100000,0)</f>
        <v>0</v>
      </c>
    </row>
    <row r="280" spans="1:21" x14ac:dyDescent="0.25">
      <c r="A280" s="17" t="s">
        <v>507</v>
      </c>
      <c r="B280" s="32">
        <v>46300.652777777803</v>
      </c>
      <c r="C280" s="17" t="s">
        <v>69</v>
      </c>
      <c r="D280" s="17" t="s">
        <v>265</v>
      </c>
      <c r="E280" s="17" t="s">
        <v>110</v>
      </c>
      <c r="F280" s="17" t="s">
        <v>84</v>
      </c>
      <c r="G280" s="17" t="s">
        <v>48</v>
      </c>
      <c r="H280" s="33">
        <v>29700</v>
      </c>
      <c r="I280" s="32">
        <v>46300.961111111101</v>
      </c>
      <c r="J280" s="34">
        <v>46300</v>
      </c>
      <c r="K280" s="34">
        <v>46302</v>
      </c>
      <c r="L280" s="34"/>
      <c r="M280" s="17"/>
      <c r="N280" s="17">
        <f t="shared" si="16"/>
        <v>7.4</v>
      </c>
      <c r="O280" s="17" t="str">
        <f t="shared" si="17"/>
        <v>Open</v>
      </c>
      <c r="P280" s="35">
        <f>IF($A280="","",IF($L280&lt;&gt;"",$L280,Settings!$C$3)-INT($B280))</f>
        <v>14</v>
      </c>
      <c r="Q280" s="17">
        <f>IF($O280&lt;&gt;"Open","",Settings!$C$3-IF($J280&lt;&gt;"",$J280,INT($B280)))</f>
        <v>14</v>
      </c>
      <c r="R280" s="17" t="str">
        <f>IF($A280="","",IF($O280="Closed","Closed",IF($F280="Unassigned","Unassigned",IF(AND($K280&lt;&gt;"",$K280&lt;Settings!$C$3),"Overdue",IF($Q280&gt;=Settings!$C$4,"Inactive","On Track")))))</f>
        <v>Overdue</v>
      </c>
      <c r="S280" s="17" t="str">
        <f t="shared" si="18"/>
        <v>8-15 days</v>
      </c>
      <c r="T280" s="36">
        <f t="shared" si="19"/>
        <v>46296</v>
      </c>
      <c r="U280" s="33">
        <f>IF(AND($O280="Open",OR(Dashboard!$D$3="All",$F280=Dashboard!$D$3)),$H280+ROW()/100000,0)</f>
        <v>29700.002799999998</v>
      </c>
    </row>
    <row r="281" spans="1:21" x14ac:dyDescent="0.25">
      <c r="A281" s="17" t="s">
        <v>508</v>
      </c>
      <c r="B281" s="32">
        <v>46301.618055555598</v>
      </c>
      <c r="C281" s="17" t="s">
        <v>64</v>
      </c>
      <c r="D281" s="17" t="s">
        <v>211</v>
      </c>
      <c r="E281" s="17" t="s">
        <v>147</v>
      </c>
      <c r="F281" s="17" t="s">
        <v>83</v>
      </c>
      <c r="G281" s="17" t="s">
        <v>18</v>
      </c>
      <c r="H281" s="33">
        <v>19000</v>
      </c>
      <c r="I281" s="32">
        <v>46301.738888888904</v>
      </c>
      <c r="J281" s="34">
        <v>46304</v>
      </c>
      <c r="K281" s="34"/>
      <c r="L281" s="34">
        <v>46304</v>
      </c>
      <c r="M281" s="17" t="s">
        <v>75</v>
      </c>
      <c r="N281" s="17">
        <f t="shared" si="16"/>
        <v>2.9</v>
      </c>
      <c r="O281" s="17" t="str">
        <f t="shared" si="17"/>
        <v>Closed</v>
      </c>
      <c r="P281" s="35">
        <f>IF($A281="","",IF($L281&lt;&gt;"",$L281,Settings!$C$3)-INT($B281))</f>
        <v>3</v>
      </c>
      <c r="Q281" s="17" t="str">
        <f>IF($O281&lt;&gt;"Open","",Settings!$C$3-IF($J281&lt;&gt;"",$J281,INT($B281)))</f>
        <v/>
      </c>
      <c r="R281" s="17" t="str">
        <f>IF($A281="","",IF($O281="Closed","Closed",IF($F281="Unassigned","Unassigned",IF(AND($K281&lt;&gt;"",$K281&lt;Settings!$C$3),"Overdue",IF($Q281&gt;=Settings!$C$4,"Inactive","On Track")))))</f>
        <v>Closed</v>
      </c>
      <c r="S281" s="17" t="str">
        <f t="shared" si="18"/>
        <v/>
      </c>
      <c r="T281" s="36">
        <f t="shared" si="19"/>
        <v>46296</v>
      </c>
      <c r="U281" s="33">
        <f>IF(AND($O281="Open",OR(Dashboard!$D$3="All",$F281=Dashboard!$D$3)),$H281+ROW()/100000,0)</f>
        <v>0</v>
      </c>
    </row>
    <row r="282" spans="1:21" x14ac:dyDescent="0.25">
      <c r="A282" s="17" t="s">
        <v>509</v>
      </c>
      <c r="B282" s="32">
        <v>46302.486111111102</v>
      </c>
      <c r="C282" s="17" t="s">
        <v>63</v>
      </c>
      <c r="D282" s="17" t="s">
        <v>303</v>
      </c>
      <c r="E282" s="17" t="s">
        <v>138</v>
      </c>
      <c r="F282" s="17" t="s">
        <v>80</v>
      </c>
      <c r="G282" s="17" t="s">
        <v>48</v>
      </c>
      <c r="H282" s="33">
        <v>18000</v>
      </c>
      <c r="I282" s="32">
        <v>46302.6652777778</v>
      </c>
      <c r="J282" s="34">
        <v>46309</v>
      </c>
      <c r="K282" s="34">
        <v>46316</v>
      </c>
      <c r="L282" s="34"/>
      <c r="M282" s="17"/>
      <c r="N282" s="17">
        <f t="shared" si="16"/>
        <v>4.3</v>
      </c>
      <c r="O282" s="17" t="str">
        <f t="shared" si="17"/>
        <v>Open</v>
      </c>
      <c r="P282" s="35">
        <f>IF($A282="","",IF($L282&lt;&gt;"",$L282,Settings!$C$3)-INT($B282))</f>
        <v>12</v>
      </c>
      <c r="Q282" s="17">
        <f>IF($O282&lt;&gt;"Open","",Settings!$C$3-IF($J282&lt;&gt;"",$J282,INT($B282)))</f>
        <v>5</v>
      </c>
      <c r="R282" s="17" t="str">
        <f>IF($A282="","",IF($O282="Closed","Closed",IF($F282="Unassigned","Unassigned",IF(AND($K282&lt;&gt;"",$K282&lt;Settings!$C$3),"Overdue",IF($Q282&gt;=Settings!$C$4,"Inactive","On Track")))))</f>
        <v>On Track</v>
      </c>
      <c r="S282" s="17" t="str">
        <f t="shared" si="18"/>
        <v>8-15 days</v>
      </c>
      <c r="T282" s="36">
        <f t="shared" si="19"/>
        <v>46296</v>
      </c>
      <c r="U282" s="33">
        <f>IF(AND($O282="Open",OR(Dashboard!$D$3="All",$F282=Dashboard!$D$3)),$H282+ROW()/100000,0)</f>
        <v>18000.002820000002</v>
      </c>
    </row>
    <row r="283" spans="1:21" x14ac:dyDescent="0.25">
      <c r="A283" s="17" t="s">
        <v>510</v>
      </c>
      <c r="B283" s="32">
        <v>46303.388888888898</v>
      </c>
      <c r="C283" s="17" t="s">
        <v>63</v>
      </c>
      <c r="D283" s="17" t="s">
        <v>261</v>
      </c>
      <c r="E283" s="17" t="s">
        <v>110</v>
      </c>
      <c r="F283" s="17" t="s">
        <v>86</v>
      </c>
      <c r="G283" s="17" t="s">
        <v>45</v>
      </c>
      <c r="H283" s="33">
        <v>19400</v>
      </c>
      <c r="I283" s="32"/>
      <c r="J283" s="34"/>
      <c r="K283" s="34"/>
      <c r="L283" s="34"/>
      <c r="M283" s="17"/>
      <c r="N283" s="17" t="str">
        <f t="shared" si="16"/>
        <v/>
      </c>
      <c r="O283" s="17" t="str">
        <f t="shared" si="17"/>
        <v>Open</v>
      </c>
      <c r="P283" s="35">
        <f>IF($A283="","",IF($L283&lt;&gt;"",$L283,Settings!$C$3)-INT($B283))</f>
        <v>11</v>
      </c>
      <c r="Q283" s="35">
        <f>IF($O283&lt;&gt;"Open","",Settings!$C$3-IF($J283&lt;&gt;"",$J283,INT($B283)))</f>
        <v>11</v>
      </c>
      <c r="R283" s="17" t="str">
        <f>IF($A283="","",IF($O283="Closed","Closed",IF($F283="Unassigned","Unassigned",IF(AND($K283&lt;&gt;"",$K283&lt;Settings!$C$3),"Overdue",IF($Q283&gt;=Settings!$C$4,"Inactive","On Track")))))</f>
        <v>Unassigned</v>
      </c>
      <c r="S283" s="17" t="str">
        <f t="shared" si="18"/>
        <v>8-15 days</v>
      </c>
      <c r="T283" s="36">
        <f t="shared" si="19"/>
        <v>46296</v>
      </c>
      <c r="U283" s="33">
        <f>IF(AND($O283="Open",OR(Dashboard!$D$3="All",$F283=Dashboard!$D$3)),$H283+ROW()/100000,0)</f>
        <v>19400.002830000001</v>
      </c>
    </row>
    <row r="284" spans="1:21" x14ac:dyDescent="0.25">
      <c r="A284" s="17" t="s">
        <v>511</v>
      </c>
      <c r="B284" s="32">
        <v>46303.416666666701</v>
      </c>
      <c r="C284" s="17" t="s">
        <v>64</v>
      </c>
      <c r="D284" s="17" t="s">
        <v>223</v>
      </c>
      <c r="E284" s="17" t="s">
        <v>138</v>
      </c>
      <c r="F284" s="17" t="s">
        <v>84</v>
      </c>
      <c r="G284" s="17" t="s">
        <v>17</v>
      </c>
      <c r="H284" s="33">
        <v>45200</v>
      </c>
      <c r="I284" s="32">
        <v>46303.591666666704</v>
      </c>
      <c r="J284" s="34">
        <v>46312</v>
      </c>
      <c r="K284" s="34"/>
      <c r="L284" s="34">
        <v>46312</v>
      </c>
      <c r="M284" s="17"/>
      <c r="N284" s="17">
        <f t="shared" si="16"/>
        <v>4.2</v>
      </c>
      <c r="O284" s="17" t="str">
        <f t="shared" si="17"/>
        <v>Closed</v>
      </c>
      <c r="P284" s="35">
        <f>IF($A284="","",IF($L284&lt;&gt;"",$L284,Settings!$C$3)-INT($B284))</f>
        <v>9</v>
      </c>
      <c r="Q284" s="17" t="str">
        <f>IF($O284&lt;&gt;"Open","",Settings!$C$3-IF($J284&lt;&gt;"",$J284,INT($B284)))</f>
        <v/>
      </c>
      <c r="R284" s="17" t="str">
        <f>IF($A284="","",IF($O284="Closed","Closed",IF($F284="Unassigned","Unassigned",IF(AND($K284&lt;&gt;"",$K284&lt;Settings!$C$3),"Overdue",IF($Q284&gt;=Settings!$C$4,"Inactive","On Track")))))</f>
        <v>Closed</v>
      </c>
      <c r="S284" s="17" t="str">
        <f t="shared" si="18"/>
        <v/>
      </c>
      <c r="T284" s="36">
        <f t="shared" si="19"/>
        <v>46296</v>
      </c>
      <c r="U284" s="33">
        <f>IF(AND($O284="Open",OR(Dashboard!$D$3="All",$F284=Dashboard!$D$3)),$H284+ROW()/100000,0)</f>
        <v>0</v>
      </c>
    </row>
    <row r="285" spans="1:21" x14ac:dyDescent="0.25">
      <c r="A285" s="17" t="s">
        <v>512</v>
      </c>
      <c r="B285" s="32">
        <v>46303.666666666701</v>
      </c>
      <c r="C285" s="17" t="s">
        <v>63</v>
      </c>
      <c r="D285" s="17" t="s">
        <v>407</v>
      </c>
      <c r="E285" s="17" t="s">
        <v>110</v>
      </c>
      <c r="F285" s="17" t="s">
        <v>86</v>
      </c>
      <c r="G285" s="17" t="s">
        <v>45</v>
      </c>
      <c r="H285" s="33">
        <v>17200</v>
      </c>
      <c r="I285" s="32"/>
      <c r="J285" s="34"/>
      <c r="K285" s="34"/>
      <c r="L285" s="34"/>
      <c r="M285" s="17"/>
      <c r="N285" s="17" t="str">
        <f t="shared" si="16"/>
        <v/>
      </c>
      <c r="O285" s="17" t="str">
        <f t="shared" si="17"/>
        <v>Open</v>
      </c>
      <c r="P285" s="35">
        <f>IF($A285="","",IF($L285&lt;&gt;"",$L285,Settings!$C$3)-INT($B285))</f>
        <v>11</v>
      </c>
      <c r="Q285" s="35">
        <f>IF($O285&lt;&gt;"Open","",Settings!$C$3-IF($J285&lt;&gt;"",$J285,INT($B285)))</f>
        <v>11</v>
      </c>
      <c r="R285" s="17" t="str">
        <f>IF($A285="","",IF($O285="Closed","Closed",IF($F285="Unassigned","Unassigned",IF(AND($K285&lt;&gt;"",$K285&lt;Settings!$C$3),"Overdue",IF($Q285&gt;=Settings!$C$4,"Inactive","On Track")))))</f>
        <v>Unassigned</v>
      </c>
      <c r="S285" s="17" t="str">
        <f t="shared" si="18"/>
        <v>8-15 days</v>
      </c>
      <c r="T285" s="36">
        <f t="shared" si="19"/>
        <v>46296</v>
      </c>
      <c r="U285" s="33">
        <f>IF(AND($O285="Open",OR(Dashboard!$D$3="All",$F285=Dashboard!$D$3)),$H285+ROW()/100000,0)</f>
        <v>17200.002850000001</v>
      </c>
    </row>
    <row r="286" spans="1:21" x14ac:dyDescent="0.25">
      <c r="A286" s="17" t="s">
        <v>513</v>
      </c>
      <c r="B286" s="32">
        <v>46303.708333333299</v>
      </c>
      <c r="C286" s="17" t="s">
        <v>64</v>
      </c>
      <c r="D286" s="17" t="s">
        <v>263</v>
      </c>
      <c r="E286" s="17" t="s">
        <v>110</v>
      </c>
      <c r="F286" s="17" t="s">
        <v>84</v>
      </c>
      <c r="G286" s="17" t="s">
        <v>47</v>
      </c>
      <c r="H286" s="33">
        <v>110000</v>
      </c>
      <c r="I286" s="32">
        <v>46303.829166666699</v>
      </c>
      <c r="J286" s="34">
        <v>46303</v>
      </c>
      <c r="K286" s="34">
        <v>46310</v>
      </c>
      <c r="L286" s="34"/>
      <c r="M286" s="17"/>
      <c r="N286" s="17">
        <f t="shared" si="16"/>
        <v>2.9</v>
      </c>
      <c r="O286" s="17" t="str">
        <f t="shared" si="17"/>
        <v>Open</v>
      </c>
      <c r="P286" s="35">
        <f>IF($A286="","",IF($L286&lt;&gt;"",$L286,Settings!$C$3)-INT($B286))</f>
        <v>11</v>
      </c>
      <c r="Q286" s="17">
        <f>IF($O286&lt;&gt;"Open","",Settings!$C$3-IF($J286&lt;&gt;"",$J286,INT($B286)))</f>
        <v>11</v>
      </c>
      <c r="R286" s="17" t="str">
        <f>IF($A286="","",IF($O286="Closed","Closed",IF($F286="Unassigned","Unassigned",IF(AND($K286&lt;&gt;"",$K286&lt;Settings!$C$3),"Overdue",IF($Q286&gt;=Settings!$C$4,"Inactive","On Track")))))</f>
        <v>Overdue</v>
      </c>
      <c r="S286" s="17" t="str">
        <f t="shared" si="18"/>
        <v>8-15 days</v>
      </c>
      <c r="T286" s="36">
        <f t="shared" si="19"/>
        <v>46296</v>
      </c>
      <c r="U286" s="33">
        <f>IF(AND($O286="Open",OR(Dashboard!$D$3="All",$F286=Dashboard!$D$3)),$H286+ROW()/100000,0)</f>
        <v>110000.00285999999</v>
      </c>
    </row>
    <row r="287" spans="1:21" x14ac:dyDescent="0.25">
      <c r="A287" s="17" t="s">
        <v>514</v>
      </c>
      <c r="B287" s="32">
        <v>46303.715277777803</v>
      </c>
      <c r="C287" s="17" t="s">
        <v>67</v>
      </c>
      <c r="D287" s="17" t="s">
        <v>175</v>
      </c>
      <c r="E287" s="17" t="s">
        <v>123</v>
      </c>
      <c r="F287" s="17" t="s">
        <v>86</v>
      </c>
      <c r="G287" s="17" t="s">
        <v>45</v>
      </c>
      <c r="H287" s="33">
        <v>163600</v>
      </c>
      <c r="I287" s="32"/>
      <c r="J287" s="34"/>
      <c r="K287" s="34"/>
      <c r="L287" s="34"/>
      <c r="M287" s="17"/>
      <c r="N287" s="17" t="str">
        <f t="shared" si="16"/>
        <v/>
      </c>
      <c r="O287" s="17" t="str">
        <f t="shared" si="17"/>
        <v>Open</v>
      </c>
      <c r="P287" s="35">
        <f>IF($A287="","",IF($L287&lt;&gt;"",$L287,Settings!$C$3)-INT($B287))</f>
        <v>11</v>
      </c>
      <c r="Q287" s="35">
        <f>IF($O287&lt;&gt;"Open","",Settings!$C$3-IF($J287&lt;&gt;"",$J287,INT($B287)))</f>
        <v>11</v>
      </c>
      <c r="R287" s="17" t="str">
        <f>IF($A287="","",IF($O287="Closed","Closed",IF($F287="Unassigned","Unassigned",IF(AND($K287&lt;&gt;"",$K287&lt;Settings!$C$3),"Overdue",IF($Q287&gt;=Settings!$C$4,"Inactive","On Track")))))</f>
        <v>Unassigned</v>
      </c>
      <c r="S287" s="17" t="str">
        <f t="shared" si="18"/>
        <v>8-15 days</v>
      </c>
      <c r="T287" s="36">
        <f t="shared" si="19"/>
        <v>46296</v>
      </c>
      <c r="U287" s="33">
        <f>IF(AND($O287="Open",OR(Dashboard!$D$3="All",$F287=Dashboard!$D$3)),$H287+ROW()/100000,0)</f>
        <v>163600.00287</v>
      </c>
    </row>
    <row r="288" spans="1:21" x14ac:dyDescent="0.25">
      <c r="A288" s="17" t="s">
        <v>515</v>
      </c>
      <c r="B288" s="32">
        <v>46303.715277777803</v>
      </c>
      <c r="C288" s="17" t="s">
        <v>68</v>
      </c>
      <c r="D288" s="17" t="s">
        <v>326</v>
      </c>
      <c r="E288" s="17" t="s">
        <v>116</v>
      </c>
      <c r="F288" s="17" t="s">
        <v>82</v>
      </c>
      <c r="G288" s="17" t="s">
        <v>17</v>
      </c>
      <c r="H288" s="33">
        <v>26700</v>
      </c>
      <c r="I288" s="32">
        <v>46304.748611111099</v>
      </c>
      <c r="J288" s="34">
        <v>46313</v>
      </c>
      <c r="K288" s="34"/>
      <c r="L288" s="34">
        <v>46313</v>
      </c>
      <c r="M288" s="17"/>
      <c r="N288" s="17">
        <f t="shared" si="16"/>
        <v>24.8</v>
      </c>
      <c r="O288" s="17" t="str">
        <f t="shared" si="17"/>
        <v>Closed</v>
      </c>
      <c r="P288" s="35">
        <f>IF($A288="","",IF($L288&lt;&gt;"",$L288,Settings!$C$3)-INT($B288))</f>
        <v>10</v>
      </c>
      <c r="Q288" s="17" t="str">
        <f>IF($O288&lt;&gt;"Open","",Settings!$C$3-IF($J288&lt;&gt;"",$J288,INT($B288)))</f>
        <v/>
      </c>
      <c r="R288" s="17" t="str">
        <f>IF($A288="","",IF($O288="Closed","Closed",IF($F288="Unassigned","Unassigned",IF(AND($K288&lt;&gt;"",$K288&lt;Settings!$C$3),"Overdue",IF($Q288&gt;=Settings!$C$4,"Inactive","On Track")))))</f>
        <v>Closed</v>
      </c>
      <c r="S288" s="17" t="str">
        <f t="shared" si="18"/>
        <v/>
      </c>
      <c r="T288" s="36">
        <f t="shared" si="19"/>
        <v>46296</v>
      </c>
      <c r="U288" s="33">
        <f>IF(AND($O288="Open",OR(Dashboard!$D$3="All",$F288=Dashboard!$D$3)),$H288+ROW()/100000,0)</f>
        <v>0</v>
      </c>
    </row>
    <row r="289" spans="1:21" x14ac:dyDescent="0.25">
      <c r="A289" s="17" t="s">
        <v>516</v>
      </c>
      <c r="B289" s="32">
        <v>46304.416666666701</v>
      </c>
      <c r="C289" s="17" t="s">
        <v>64</v>
      </c>
      <c r="D289" s="17" t="s">
        <v>109</v>
      </c>
      <c r="E289" s="17" t="s">
        <v>138</v>
      </c>
      <c r="F289" s="17" t="s">
        <v>82</v>
      </c>
      <c r="G289" s="17" t="s">
        <v>48</v>
      </c>
      <c r="H289" s="33">
        <v>22500</v>
      </c>
      <c r="I289" s="32">
        <v>46304.712500000001</v>
      </c>
      <c r="J289" s="34">
        <v>46304</v>
      </c>
      <c r="K289" s="34">
        <v>46311</v>
      </c>
      <c r="L289" s="34"/>
      <c r="M289" s="17"/>
      <c r="N289" s="17">
        <f t="shared" si="16"/>
        <v>7.1</v>
      </c>
      <c r="O289" s="17" t="str">
        <f t="shared" si="17"/>
        <v>Open</v>
      </c>
      <c r="P289" s="35">
        <f>IF($A289="","",IF($L289&lt;&gt;"",$L289,Settings!$C$3)-INT($B289))</f>
        <v>10</v>
      </c>
      <c r="Q289" s="17">
        <f>IF($O289&lt;&gt;"Open","",Settings!$C$3-IF($J289&lt;&gt;"",$J289,INT($B289)))</f>
        <v>10</v>
      </c>
      <c r="R289" s="17" t="str">
        <f>IF($A289="","",IF($O289="Closed","Closed",IF($F289="Unassigned","Unassigned",IF(AND($K289&lt;&gt;"",$K289&lt;Settings!$C$3),"Overdue",IF($Q289&gt;=Settings!$C$4,"Inactive","On Track")))))</f>
        <v>Overdue</v>
      </c>
      <c r="S289" s="17" t="str">
        <f t="shared" si="18"/>
        <v>8-15 days</v>
      </c>
      <c r="T289" s="36">
        <f t="shared" si="19"/>
        <v>46296</v>
      </c>
      <c r="U289" s="33">
        <f>IF(AND($O289="Open",OR(Dashboard!$D$3="All",$F289=Dashboard!$D$3)),$H289+ROW()/100000,0)</f>
        <v>22500.00289</v>
      </c>
    </row>
    <row r="290" spans="1:21" x14ac:dyDescent="0.25">
      <c r="A290" s="17" t="s">
        <v>517</v>
      </c>
      <c r="B290" s="32">
        <v>46305.368055555598</v>
      </c>
      <c r="C290" s="17" t="s">
        <v>62</v>
      </c>
      <c r="D290" s="17" t="s">
        <v>303</v>
      </c>
      <c r="E290" s="17" t="s">
        <v>113</v>
      </c>
      <c r="F290" s="17" t="s">
        <v>84</v>
      </c>
      <c r="G290" s="17" t="s">
        <v>46</v>
      </c>
      <c r="H290" s="33">
        <v>51600</v>
      </c>
      <c r="I290" s="32">
        <v>46305.755555555603</v>
      </c>
      <c r="J290" s="34">
        <v>46312</v>
      </c>
      <c r="K290" s="34">
        <v>46318</v>
      </c>
      <c r="L290" s="34"/>
      <c r="M290" s="17"/>
      <c r="N290" s="17">
        <f t="shared" si="16"/>
        <v>9.3000000000000007</v>
      </c>
      <c r="O290" s="17" t="str">
        <f t="shared" si="17"/>
        <v>Open</v>
      </c>
      <c r="P290" s="35">
        <f>IF($A290="","",IF($L290&lt;&gt;"",$L290,Settings!$C$3)-INT($B290))</f>
        <v>9</v>
      </c>
      <c r="Q290" s="17">
        <f>IF($O290&lt;&gt;"Open","",Settings!$C$3-IF($J290&lt;&gt;"",$J290,INT($B290)))</f>
        <v>2</v>
      </c>
      <c r="R290" s="17" t="str">
        <f>IF($A290="","",IF($O290="Closed","Closed",IF($F290="Unassigned","Unassigned",IF(AND($K290&lt;&gt;"",$K290&lt;Settings!$C$3),"Overdue",IF($Q290&gt;=Settings!$C$4,"Inactive","On Track")))))</f>
        <v>On Track</v>
      </c>
      <c r="S290" s="17" t="str">
        <f t="shared" si="18"/>
        <v>8-15 days</v>
      </c>
      <c r="T290" s="36">
        <f t="shared" si="19"/>
        <v>46296</v>
      </c>
      <c r="U290" s="33">
        <f>IF(AND($O290="Open",OR(Dashboard!$D$3="All",$F290=Dashboard!$D$3)),$H290+ROW()/100000,0)</f>
        <v>51600.002899999999</v>
      </c>
    </row>
    <row r="291" spans="1:21" x14ac:dyDescent="0.25">
      <c r="A291" s="17" t="s">
        <v>518</v>
      </c>
      <c r="B291" s="32">
        <v>46305.715277777803</v>
      </c>
      <c r="C291" s="17" t="s">
        <v>63</v>
      </c>
      <c r="D291" s="17" t="s">
        <v>171</v>
      </c>
      <c r="E291" s="17" t="s">
        <v>113</v>
      </c>
      <c r="F291" s="17" t="s">
        <v>85</v>
      </c>
      <c r="G291" s="17" t="s">
        <v>18</v>
      </c>
      <c r="H291" s="33">
        <v>26100</v>
      </c>
      <c r="I291" s="32">
        <v>46305.906944444498</v>
      </c>
      <c r="J291" s="34">
        <v>46313</v>
      </c>
      <c r="K291" s="34"/>
      <c r="L291" s="34">
        <v>46313</v>
      </c>
      <c r="M291" s="17" t="s">
        <v>75</v>
      </c>
      <c r="N291" s="17">
        <f t="shared" si="16"/>
        <v>4.5999999999999996</v>
      </c>
      <c r="O291" s="17" t="str">
        <f t="shared" si="17"/>
        <v>Closed</v>
      </c>
      <c r="P291" s="35">
        <f>IF($A291="","",IF($L291&lt;&gt;"",$L291,Settings!$C$3)-INT($B291))</f>
        <v>8</v>
      </c>
      <c r="Q291" s="17" t="str">
        <f>IF($O291&lt;&gt;"Open","",Settings!$C$3-IF($J291&lt;&gt;"",$J291,INT($B291)))</f>
        <v/>
      </c>
      <c r="R291" s="17" t="str">
        <f>IF($A291="","",IF($O291="Closed","Closed",IF($F291="Unassigned","Unassigned",IF(AND($K291&lt;&gt;"",$K291&lt;Settings!$C$3),"Overdue",IF($Q291&gt;=Settings!$C$4,"Inactive","On Track")))))</f>
        <v>Closed</v>
      </c>
      <c r="S291" s="17" t="str">
        <f t="shared" si="18"/>
        <v/>
      </c>
      <c r="T291" s="36">
        <f t="shared" si="19"/>
        <v>46296</v>
      </c>
      <c r="U291" s="33">
        <f>IF(AND($O291="Open",OR(Dashboard!$D$3="All",$F291=Dashboard!$D$3)),$H291+ROW()/100000,0)</f>
        <v>0</v>
      </c>
    </row>
    <row r="292" spans="1:21" x14ac:dyDescent="0.25">
      <c r="A292" s="17" t="s">
        <v>519</v>
      </c>
      <c r="B292" s="32">
        <v>46306.5</v>
      </c>
      <c r="C292" s="17" t="s">
        <v>62</v>
      </c>
      <c r="D292" s="17" t="s">
        <v>133</v>
      </c>
      <c r="E292" s="17" t="s">
        <v>147</v>
      </c>
      <c r="F292" s="17" t="s">
        <v>85</v>
      </c>
      <c r="G292" s="17" t="s">
        <v>47</v>
      </c>
      <c r="H292" s="33">
        <v>14000</v>
      </c>
      <c r="I292" s="32">
        <v>46306.612500000003</v>
      </c>
      <c r="J292" s="34">
        <v>46311</v>
      </c>
      <c r="K292" s="34">
        <v>46317</v>
      </c>
      <c r="L292" s="34"/>
      <c r="M292" s="17"/>
      <c r="N292" s="17">
        <f t="shared" si="16"/>
        <v>2.7</v>
      </c>
      <c r="O292" s="17" t="str">
        <f t="shared" si="17"/>
        <v>Open</v>
      </c>
      <c r="P292" s="35">
        <f>IF($A292="","",IF($L292&lt;&gt;"",$L292,Settings!$C$3)-INT($B292))</f>
        <v>8</v>
      </c>
      <c r="Q292" s="17">
        <f>IF($O292&lt;&gt;"Open","",Settings!$C$3-IF($J292&lt;&gt;"",$J292,INT($B292)))</f>
        <v>3</v>
      </c>
      <c r="R292" s="17" t="str">
        <f>IF($A292="","",IF($O292="Closed","Closed",IF($F292="Unassigned","Unassigned",IF(AND($K292&lt;&gt;"",$K292&lt;Settings!$C$3),"Overdue",IF($Q292&gt;=Settings!$C$4,"Inactive","On Track")))))</f>
        <v>On Track</v>
      </c>
      <c r="S292" s="17" t="str">
        <f t="shared" si="18"/>
        <v>8-15 days</v>
      </c>
      <c r="T292" s="36">
        <f t="shared" si="19"/>
        <v>46296</v>
      </c>
      <c r="U292" s="33">
        <f>IF(AND($O292="Open",OR(Dashboard!$D$3="All",$F292=Dashboard!$D$3)),$H292+ROW()/100000,0)</f>
        <v>14000.002920000001</v>
      </c>
    </row>
    <row r="293" spans="1:21" x14ac:dyDescent="0.25">
      <c r="A293" s="17" t="s">
        <v>520</v>
      </c>
      <c r="B293" s="32">
        <v>46306.569444444503</v>
      </c>
      <c r="C293" s="17" t="s">
        <v>66</v>
      </c>
      <c r="D293" s="17" t="s">
        <v>285</v>
      </c>
      <c r="E293" s="17" t="s">
        <v>138</v>
      </c>
      <c r="F293" s="17" t="s">
        <v>83</v>
      </c>
      <c r="G293" s="17" t="s">
        <v>48</v>
      </c>
      <c r="H293" s="33">
        <v>13200</v>
      </c>
      <c r="I293" s="32">
        <v>46306.723611111098</v>
      </c>
      <c r="J293" s="34">
        <v>46312</v>
      </c>
      <c r="K293" s="34">
        <v>46314</v>
      </c>
      <c r="L293" s="34"/>
      <c r="M293" s="17"/>
      <c r="N293" s="17">
        <f t="shared" si="16"/>
        <v>3.7</v>
      </c>
      <c r="O293" s="17" t="str">
        <f t="shared" si="17"/>
        <v>Open</v>
      </c>
      <c r="P293" s="35">
        <f>IF($A293="","",IF($L293&lt;&gt;"",$L293,Settings!$C$3)-INT($B293))</f>
        <v>8</v>
      </c>
      <c r="Q293" s="17">
        <f>IF($O293&lt;&gt;"Open","",Settings!$C$3-IF($J293&lt;&gt;"",$J293,INT($B293)))</f>
        <v>2</v>
      </c>
      <c r="R293" s="17" t="str">
        <f>IF($A293="","",IF($O293="Closed","Closed",IF($F293="Unassigned","Unassigned",IF(AND($K293&lt;&gt;"",$K293&lt;Settings!$C$3),"Overdue",IF($Q293&gt;=Settings!$C$4,"Inactive","On Track")))))</f>
        <v>On Track</v>
      </c>
      <c r="S293" s="17" t="str">
        <f t="shared" si="18"/>
        <v>8-15 days</v>
      </c>
      <c r="T293" s="36">
        <f t="shared" si="19"/>
        <v>46296</v>
      </c>
      <c r="U293" s="33">
        <f>IF(AND($O293="Open",OR(Dashboard!$D$3="All",$F293=Dashboard!$D$3)),$H293+ROW()/100000,0)</f>
        <v>13200.002930000001</v>
      </c>
    </row>
    <row r="294" spans="1:21" x14ac:dyDescent="0.25">
      <c r="A294" s="17" t="s">
        <v>521</v>
      </c>
      <c r="B294" s="32">
        <v>46306.625</v>
      </c>
      <c r="C294" s="17" t="s">
        <v>62</v>
      </c>
      <c r="D294" s="17" t="s">
        <v>185</v>
      </c>
      <c r="E294" s="17" t="s">
        <v>113</v>
      </c>
      <c r="F294" s="17" t="s">
        <v>84</v>
      </c>
      <c r="G294" s="17" t="s">
        <v>48</v>
      </c>
      <c r="H294" s="33">
        <v>26700</v>
      </c>
      <c r="I294" s="32">
        <v>46306.8</v>
      </c>
      <c r="J294" s="34">
        <v>46313</v>
      </c>
      <c r="K294" s="34">
        <v>46322</v>
      </c>
      <c r="L294" s="34"/>
      <c r="M294" s="17"/>
      <c r="N294" s="17">
        <f t="shared" si="16"/>
        <v>4.2</v>
      </c>
      <c r="O294" s="17" t="str">
        <f t="shared" si="17"/>
        <v>Open</v>
      </c>
      <c r="P294" s="35">
        <f>IF($A294="","",IF($L294&lt;&gt;"",$L294,Settings!$C$3)-INT($B294))</f>
        <v>8</v>
      </c>
      <c r="Q294" s="17">
        <f>IF($O294&lt;&gt;"Open","",Settings!$C$3-IF($J294&lt;&gt;"",$J294,INT($B294)))</f>
        <v>1</v>
      </c>
      <c r="R294" s="17" t="str">
        <f>IF($A294="","",IF($O294="Closed","Closed",IF($F294="Unassigned","Unassigned",IF(AND($K294&lt;&gt;"",$K294&lt;Settings!$C$3),"Overdue",IF($Q294&gt;=Settings!$C$4,"Inactive","On Track")))))</f>
        <v>On Track</v>
      </c>
      <c r="S294" s="17" t="str">
        <f t="shared" si="18"/>
        <v>8-15 days</v>
      </c>
      <c r="T294" s="36">
        <f t="shared" si="19"/>
        <v>46296</v>
      </c>
      <c r="U294" s="33">
        <f>IF(AND($O294="Open",OR(Dashboard!$D$3="All",$F294=Dashboard!$D$3)),$H294+ROW()/100000,0)</f>
        <v>26700.002939999998</v>
      </c>
    </row>
    <row r="295" spans="1:21" x14ac:dyDescent="0.25">
      <c r="A295" s="17" t="s">
        <v>522</v>
      </c>
      <c r="B295" s="32">
        <v>46306.638888888898</v>
      </c>
      <c r="C295" s="17" t="s">
        <v>64</v>
      </c>
      <c r="D295" s="17" t="s">
        <v>326</v>
      </c>
      <c r="E295" s="17" t="s">
        <v>123</v>
      </c>
      <c r="F295" s="17" t="s">
        <v>81</v>
      </c>
      <c r="G295" s="17" t="s">
        <v>47</v>
      </c>
      <c r="H295" s="33">
        <v>21400</v>
      </c>
      <c r="I295" s="32">
        <v>46306.947222222203</v>
      </c>
      <c r="J295" s="34">
        <v>46312</v>
      </c>
      <c r="K295" s="34">
        <v>46316</v>
      </c>
      <c r="L295" s="34"/>
      <c r="M295" s="17"/>
      <c r="N295" s="17">
        <f t="shared" si="16"/>
        <v>7.4</v>
      </c>
      <c r="O295" s="17" t="str">
        <f t="shared" si="17"/>
        <v>Open</v>
      </c>
      <c r="P295" s="35">
        <f>IF($A295="","",IF($L295&lt;&gt;"",$L295,Settings!$C$3)-INT($B295))</f>
        <v>8</v>
      </c>
      <c r="Q295" s="17">
        <f>IF($O295&lt;&gt;"Open","",Settings!$C$3-IF($J295&lt;&gt;"",$J295,INT($B295)))</f>
        <v>2</v>
      </c>
      <c r="R295" s="17" t="str">
        <f>IF($A295="","",IF($O295="Closed","Closed",IF($F295="Unassigned","Unassigned",IF(AND($K295&lt;&gt;"",$K295&lt;Settings!$C$3),"Overdue",IF($Q295&gt;=Settings!$C$4,"Inactive","On Track")))))</f>
        <v>On Track</v>
      </c>
      <c r="S295" s="17" t="str">
        <f t="shared" si="18"/>
        <v>8-15 days</v>
      </c>
      <c r="T295" s="36">
        <f t="shared" si="19"/>
        <v>46296</v>
      </c>
      <c r="U295" s="33">
        <f>IF(AND($O295="Open",OR(Dashboard!$D$3="All",$F295=Dashboard!$D$3)),$H295+ROW()/100000,0)</f>
        <v>21400.002949999998</v>
      </c>
    </row>
    <row r="296" spans="1:21" x14ac:dyDescent="0.25">
      <c r="A296" s="17" t="s">
        <v>523</v>
      </c>
      <c r="B296" s="32">
        <v>46307.520833333299</v>
      </c>
      <c r="C296" s="17" t="s">
        <v>62</v>
      </c>
      <c r="D296" s="17" t="s">
        <v>177</v>
      </c>
      <c r="E296" s="17" t="s">
        <v>138</v>
      </c>
      <c r="F296" s="17" t="s">
        <v>85</v>
      </c>
      <c r="G296" s="17" t="s">
        <v>46</v>
      </c>
      <c r="H296" s="33">
        <v>35600</v>
      </c>
      <c r="I296" s="32">
        <v>46307.708333333299</v>
      </c>
      <c r="J296" s="34">
        <v>46309</v>
      </c>
      <c r="K296" s="34">
        <v>46313</v>
      </c>
      <c r="L296" s="34"/>
      <c r="M296" s="17"/>
      <c r="N296" s="17">
        <f t="shared" si="16"/>
        <v>4.5</v>
      </c>
      <c r="O296" s="17" t="str">
        <f t="shared" si="17"/>
        <v>Open</v>
      </c>
      <c r="P296" s="35">
        <f>IF($A296="","",IF($L296&lt;&gt;"",$L296,Settings!$C$3)-INT($B296))</f>
        <v>7</v>
      </c>
      <c r="Q296" s="17">
        <f>IF($O296&lt;&gt;"Open","",Settings!$C$3-IF($J296&lt;&gt;"",$J296,INT($B296)))</f>
        <v>5</v>
      </c>
      <c r="R296" s="17" t="str">
        <f>IF($A296="","",IF($O296="Closed","Closed",IF($F296="Unassigned","Unassigned",IF(AND($K296&lt;&gt;"",$K296&lt;Settings!$C$3),"Overdue",IF($Q296&gt;=Settings!$C$4,"Inactive","On Track")))))</f>
        <v>Overdue</v>
      </c>
      <c r="S296" s="17" t="str">
        <f t="shared" si="18"/>
        <v>0-7 days</v>
      </c>
      <c r="T296" s="36">
        <f t="shared" si="19"/>
        <v>46296</v>
      </c>
      <c r="U296" s="33">
        <f>IF(AND($O296="Open",OR(Dashboard!$D$3="All",$F296=Dashboard!$D$3)),$H296+ROW()/100000,0)</f>
        <v>35600.002959999998</v>
      </c>
    </row>
    <row r="297" spans="1:21" x14ac:dyDescent="0.25">
      <c r="A297" s="17" t="s">
        <v>524</v>
      </c>
      <c r="B297" s="32">
        <v>46308.409722222197</v>
      </c>
      <c r="C297" s="17" t="s">
        <v>62</v>
      </c>
      <c r="D297" s="17" t="s">
        <v>299</v>
      </c>
      <c r="E297" s="17" t="s">
        <v>138</v>
      </c>
      <c r="F297" s="17" t="s">
        <v>85</v>
      </c>
      <c r="G297" s="17" t="s">
        <v>47</v>
      </c>
      <c r="H297" s="33">
        <v>118000</v>
      </c>
      <c r="I297" s="32">
        <v>46308.938888888901</v>
      </c>
      <c r="J297" s="34">
        <v>46308</v>
      </c>
      <c r="K297" s="34">
        <v>46314</v>
      </c>
      <c r="L297" s="34"/>
      <c r="M297" s="17"/>
      <c r="N297" s="17">
        <f t="shared" si="16"/>
        <v>12.7</v>
      </c>
      <c r="O297" s="17" t="str">
        <f t="shared" si="17"/>
        <v>Open</v>
      </c>
      <c r="P297" s="35">
        <f>IF($A297="","",IF($L297&lt;&gt;"",$L297,Settings!$C$3)-INT($B297))</f>
        <v>6</v>
      </c>
      <c r="Q297" s="17">
        <f>IF($O297&lt;&gt;"Open","",Settings!$C$3-IF($J297&lt;&gt;"",$J297,INT($B297)))</f>
        <v>6</v>
      </c>
      <c r="R297" s="17" t="str">
        <f>IF($A297="","",IF($O297="Closed","Closed",IF($F297="Unassigned","Unassigned",IF(AND($K297&lt;&gt;"",$K297&lt;Settings!$C$3),"Overdue",IF($Q297&gt;=Settings!$C$4,"Inactive","On Track")))))</f>
        <v>On Track</v>
      </c>
      <c r="S297" s="17" t="str">
        <f t="shared" si="18"/>
        <v>0-7 days</v>
      </c>
      <c r="T297" s="36">
        <f t="shared" si="19"/>
        <v>46296</v>
      </c>
      <c r="U297" s="33">
        <f>IF(AND($O297="Open",OR(Dashboard!$D$3="All",$F297=Dashboard!$D$3)),$H297+ROW()/100000,0)</f>
        <v>118000.00297</v>
      </c>
    </row>
    <row r="298" spans="1:21" x14ac:dyDescent="0.25">
      <c r="A298" s="17" t="s">
        <v>525</v>
      </c>
      <c r="B298" s="32">
        <v>46308.722222222197</v>
      </c>
      <c r="C298" s="17" t="s">
        <v>64</v>
      </c>
      <c r="D298" s="17" t="s">
        <v>205</v>
      </c>
      <c r="E298" s="17" t="s">
        <v>123</v>
      </c>
      <c r="F298" s="17" t="s">
        <v>80</v>
      </c>
      <c r="G298" s="17" t="s">
        <v>46</v>
      </c>
      <c r="H298" s="33">
        <v>11100</v>
      </c>
      <c r="I298" s="32">
        <v>46308.976388888899</v>
      </c>
      <c r="J298" s="34">
        <v>46309</v>
      </c>
      <c r="K298" s="34">
        <v>46315</v>
      </c>
      <c r="L298" s="34"/>
      <c r="M298" s="17"/>
      <c r="N298" s="17">
        <f t="shared" si="16"/>
        <v>6.1</v>
      </c>
      <c r="O298" s="17" t="str">
        <f t="shared" si="17"/>
        <v>Open</v>
      </c>
      <c r="P298" s="35">
        <f>IF($A298="","",IF($L298&lt;&gt;"",$L298,Settings!$C$3)-INT($B298))</f>
        <v>6</v>
      </c>
      <c r="Q298" s="17">
        <f>IF($O298&lt;&gt;"Open","",Settings!$C$3-IF($J298&lt;&gt;"",$J298,INT($B298)))</f>
        <v>5</v>
      </c>
      <c r="R298" s="17" t="str">
        <f>IF($A298="","",IF($O298="Closed","Closed",IF($F298="Unassigned","Unassigned",IF(AND($K298&lt;&gt;"",$K298&lt;Settings!$C$3),"Overdue",IF($Q298&gt;=Settings!$C$4,"Inactive","On Track")))))</f>
        <v>On Track</v>
      </c>
      <c r="S298" s="17" t="str">
        <f t="shared" si="18"/>
        <v>0-7 days</v>
      </c>
      <c r="T298" s="36">
        <f t="shared" si="19"/>
        <v>46296</v>
      </c>
      <c r="U298" s="33">
        <f>IF(AND($O298="Open",OR(Dashboard!$D$3="All",$F298=Dashboard!$D$3)),$H298+ROW()/100000,0)</f>
        <v>11100.002979999999</v>
      </c>
    </row>
    <row r="299" spans="1:21" x14ac:dyDescent="0.25">
      <c r="A299" s="17" t="s">
        <v>526</v>
      </c>
      <c r="B299" s="32">
        <v>46309.361111111102</v>
      </c>
      <c r="C299" s="17" t="s">
        <v>69</v>
      </c>
      <c r="D299" s="17" t="s">
        <v>281</v>
      </c>
      <c r="E299" s="17" t="s">
        <v>116</v>
      </c>
      <c r="F299" s="17" t="s">
        <v>82</v>
      </c>
      <c r="G299" s="17" t="s">
        <v>46</v>
      </c>
      <c r="H299" s="33">
        <v>14900</v>
      </c>
      <c r="I299" s="32">
        <v>46309.761111111096</v>
      </c>
      <c r="J299" s="34">
        <v>46312</v>
      </c>
      <c r="K299" s="34">
        <v>46318</v>
      </c>
      <c r="L299" s="34"/>
      <c r="M299" s="17"/>
      <c r="N299" s="17">
        <f t="shared" si="16"/>
        <v>9.6</v>
      </c>
      <c r="O299" s="17" t="str">
        <f t="shared" si="17"/>
        <v>Open</v>
      </c>
      <c r="P299" s="35">
        <f>IF($A299="","",IF($L299&lt;&gt;"",$L299,Settings!$C$3)-INT($B299))</f>
        <v>5</v>
      </c>
      <c r="Q299" s="17">
        <f>IF($O299&lt;&gt;"Open","",Settings!$C$3-IF($J299&lt;&gt;"",$J299,INT($B299)))</f>
        <v>2</v>
      </c>
      <c r="R299" s="17" t="str">
        <f>IF($A299="","",IF($O299="Closed","Closed",IF($F299="Unassigned","Unassigned",IF(AND($K299&lt;&gt;"",$K299&lt;Settings!$C$3),"Overdue",IF($Q299&gt;=Settings!$C$4,"Inactive","On Track")))))</f>
        <v>On Track</v>
      </c>
      <c r="S299" s="17" t="str">
        <f t="shared" si="18"/>
        <v>0-7 days</v>
      </c>
      <c r="T299" s="36">
        <f t="shared" si="19"/>
        <v>46296</v>
      </c>
      <c r="U299" s="33">
        <f>IF(AND($O299="Open",OR(Dashboard!$D$3="All",$F299=Dashboard!$D$3)),$H299+ROW()/100000,0)</f>
        <v>14900.002990000001</v>
      </c>
    </row>
    <row r="300" spans="1:21" x14ac:dyDescent="0.25">
      <c r="A300" s="17" t="s">
        <v>527</v>
      </c>
      <c r="B300" s="32">
        <v>46309.368055555598</v>
      </c>
      <c r="C300" s="17" t="s">
        <v>62</v>
      </c>
      <c r="D300" s="17" t="s">
        <v>159</v>
      </c>
      <c r="E300" s="17" t="s">
        <v>138</v>
      </c>
      <c r="F300" s="17" t="s">
        <v>84</v>
      </c>
      <c r="G300" s="17" t="s">
        <v>47</v>
      </c>
      <c r="H300" s="33">
        <v>23400</v>
      </c>
      <c r="I300" s="32">
        <v>46309.847222222197</v>
      </c>
      <c r="J300" s="34">
        <v>46309</v>
      </c>
      <c r="K300" s="34">
        <v>46315</v>
      </c>
      <c r="L300" s="34"/>
      <c r="M300" s="17"/>
      <c r="N300" s="17">
        <f t="shared" si="16"/>
        <v>11.5</v>
      </c>
      <c r="O300" s="17" t="str">
        <f t="shared" si="17"/>
        <v>Open</v>
      </c>
      <c r="P300" s="35">
        <f>IF($A300="","",IF($L300&lt;&gt;"",$L300,Settings!$C$3)-INT($B300))</f>
        <v>5</v>
      </c>
      <c r="Q300" s="17">
        <f>IF($O300&lt;&gt;"Open","",Settings!$C$3-IF($J300&lt;&gt;"",$J300,INT($B300)))</f>
        <v>5</v>
      </c>
      <c r="R300" s="17" t="str">
        <f>IF($A300="","",IF($O300="Closed","Closed",IF($F300="Unassigned","Unassigned",IF(AND($K300&lt;&gt;"",$K300&lt;Settings!$C$3),"Overdue",IF($Q300&gt;=Settings!$C$4,"Inactive","On Track")))))</f>
        <v>On Track</v>
      </c>
      <c r="S300" s="17" t="str">
        <f t="shared" si="18"/>
        <v>0-7 days</v>
      </c>
      <c r="T300" s="36">
        <f t="shared" si="19"/>
        <v>46296</v>
      </c>
      <c r="U300" s="33">
        <f>IF(AND($O300="Open",OR(Dashboard!$D$3="All",$F300=Dashboard!$D$3)),$H300+ROW()/100000,0)</f>
        <v>23400.003000000001</v>
      </c>
    </row>
    <row r="301" spans="1:21" x14ac:dyDescent="0.25">
      <c r="A301" s="17" t="s">
        <v>528</v>
      </c>
      <c r="B301" s="32">
        <v>46309.520833333299</v>
      </c>
      <c r="C301" s="17" t="s">
        <v>62</v>
      </c>
      <c r="D301" s="17" t="s">
        <v>163</v>
      </c>
      <c r="E301" s="17" t="s">
        <v>123</v>
      </c>
      <c r="F301" s="17" t="s">
        <v>84</v>
      </c>
      <c r="G301" s="17" t="s">
        <v>46</v>
      </c>
      <c r="H301" s="33">
        <v>82800</v>
      </c>
      <c r="I301" s="32">
        <v>46309.737500000003</v>
      </c>
      <c r="J301" s="34">
        <v>46309</v>
      </c>
      <c r="K301" s="34">
        <v>46317</v>
      </c>
      <c r="L301" s="34"/>
      <c r="M301" s="17"/>
      <c r="N301" s="17">
        <f t="shared" si="16"/>
        <v>5.2</v>
      </c>
      <c r="O301" s="17" t="str">
        <f t="shared" si="17"/>
        <v>Open</v>
      </c>
      <c r="P301" s="35">
        <f>IF($A301="","",IF($L301&lt;&gt;"",$L301,Settings!$C$3)-INT($B301))</f>
        <v>5</v>
      </c>
      <c r="Q301" s="17">
        <f>IF($O301&lt;&gt;"Open","",Settings!$C$3-IF($J301&lt;&gt;"",$J301,INT($B301)))</f>
        <v>5</v>
      </c>
      <c r="R301" s="17" t="str">
        <f>IF($A301="","",IF($O301="Closed","Closed",IF($F301="Unassigned","Unassigned",IF(AND($K301&lt;&gt;"",$K301&lt;Settings!$C$3),"Overdue",IF($Q301&gt;=Settings!$C$4,"Inactive","On Track")))))</f>
        <v>On Track</v>
      </c>
      <c r="S301" s="17" t="str">
        <f t="shared" si="18"/>
        <v>0-7 days</v>
      </c>
      <c r="T301" s="36">
        <f t="shared" si="19"/>
        <v>46296</v>
      </c>
      <c r="U301" s="33">
        <f>IF(AND($O301="Open",OR(Dashboard!$D$3="All",$F301=Dashboard!$D$3)),$H301+ROW()/100000,0)</f>
        <v>82800.00301</v>
      </c>
    </row>
    <row r="302" spans="1:21" x14ac:dyDescent="0.25">
      <c r="A302" s="17" t="s">
        <v>529</v>
      </c>
      <c r="B302" s="32">
        <v>46309.5625</v>
      </c>
      <c r="C302" s="17" t="s">
        <v>63</v>
      </c>
      <c r="D302" s="17" t="s">
        <v>259</v>
      </c>
      <c r="E302" s="17" t="s">
        <v>147</v>
      </c>
      <c r="F302" s="17" t="s">
        <v>85</v>
      </c>
      <c r="G302" s="17" t="s">
        <v>47</v>
      </c>
      <c r="H302" s="33">
        <v>31700</v>
      </c>
      <c r="I302" s="32">
        <v>46309.858333333301</v>
      </c>
      <c r="J302" s="34">
        <v>46309</v>
      </c>
      <c r="K302" s="34">
        <v>46315</v>
      </c>
      <c r="L302" s="34"/>
      <c r="M302" s="17"/>
      <c r="N302" s="17">
        <f t="shared" si="16"/>
        <v>7.1</v>
      </c>
      <c r="O302" s="17" t="str">
        <f t="shared" si="17"/>
        <v>Open</v>
      </c>
      <c r="P302" s="35">
        <f>IF($A302="","",IF($L302&lt;&gt;"",$L302,Settings!$C$3)-INT($B302))</f>
        <v>5</v>
      </c>
      <c r="Q302" s="17">
        <f>IF($O302&lt;&gt;"Open","",Settings!$C$3-IF($J302&lt;&gt;"",$J302,INT($B302)))</f>
        <v>5</v>
      </c>
      <c r="R302" s="17" t="str">
        <f>IF($A302="","",IF($O302="Closed","Closed",IF($F302="Unassigned","Unassigned",IF(AND($K302&lt;&gt;"",$K302&lt;Settings!$C$3),"Overdue",IF($Q302&gt;=Settings!$C$4,"Inactive","On Track")))))</f>
        <v>On Track</v>
      </c>
      <c r="S302" s="17" t="str">
        <f t="shared" si="18"/>
        <v>0-7 days</v>
      </c>
      <c r="T302" s="36">
        <f t="shared" si="19"/>
        <v>46296</v>
      </c>
      <c r="U302" s="33">
        <f>IF(AND($O302="Open",OR(Dashboard!$D$3="All",$F302=Dashboard!$D$3)),$H302+ROW()/100000,0)</f>
        <v>31700.00302</v>
      </c>
    </row>
    <row r="303" spans="1:21" x14ac:dyDescent="0.25">
      <c r="A303" s="17" t="s">
        <v>530</v>
      </c>
      <c r="B303" s="32">
        <v>46309.583333333299</v>
      </c>
      <c r="C303" s="17" t="s">
        <v>63</v>
      </c>
      <c r="D303" s="17" t="s">
        <v>173</v>
      </c>
      <c r="E303" s="17" t="s">
        <v>147</v>
      </c>
      <c r="F303" s="17" t="s">
        <v>82</v>
      </c>
      <c r="G303" s="17" t="s">
        <v>46</v>
      </c>
      <c r="H303" s="33">
        <v>41700</v>
      </c>
      <c r="I303" s="32">
        <v>46309.987500000003</v>
      </c>
      <c r="J303" s="34">
        <v>46309</v>
      </c>
      <c r="K303" s="34">
        <v>46318</v>
      </c>
      <c r="L303" s="34"/>
      <c r="M303" s="17"/>
      <c r="N303" s="17">
        <f t="shared" si="16"/>
        <v>9.6999999999999993</v>
      </c>
      <c r="O303" s="17" t="str">
        <f t="shared" si="17"/>
        <v>Open</v>
      </c>
      <c r="P303" s="35">
        <f>IF($A303="","",IF($L303&lt;&gt;"",$L303,Settings!$C$3)-INT($B303))</f>
        <v>5</v>
      </c>
      <c r="Q303" s="17">
        <f>IF($O303&lt;&gt;"Open","",Settings!$C$3-IF($J303&lt;&gt;"",$J303,INT($B303)))</f>
        <v>5</v>
      </c>
      <c r="R303" s="17" t="str">
        <f>IF($A303="","",IF($O303="Closed","Closed",IF($F303="Unassigned","Unassigned",IF(AND($K303&lt;&gt;"",$K303&lt;Settings!$C$3),"Overdue",IF($Q303&gt;=Settings!$C$4,"Inactive","On Track")))))</f>
        <v>On Track</v>
      </c>
      <c r="S303" s="17" t="str">
        <f t="shared" si="18"/>
        <v>0-7 days</v>
      </c>
      <c r="T303" s="36">
        <f t="shared" si="19"/>
        <v>46296</v>
      </c>
      <c r="U303" s="33">
        <f>IF(AND($O303="Open",OR(Dashboard!$D$3="All",$F303=Dashboard!$D$3)),$H303+ROW()/100000,0)</f>
        <v>41700.00303</v>
      </c>
    </row>
    <row r="304" spans="1:21" x14ac:dyDescent="0.25">
      <c r="A304" s="17" t="s">
        <v>531</v>
      </c>
      <c r="B304" s="32">
        <v>46310.333333333299</v>
      </c>
      <c r="C304" s="17" t="s">
        <v>63</v>
      </c>
      <c r="D304" s="17" t="s">
        <v>333</v>
      </c>
      <c r="E304" s="17" t="s">
        <v>116</v>
      </c>
      <c r="F304" s="17" t="s">
        <v>82</v>
      </c>
      <c r="G304" s="17" t="s">
        <v>48</v>
      </c>
      <c r="H304" s="33">
        <v>35500</v>
      </c>
      <c r="I304" s="32">
        <v>46311.454166666699</v>
      </c>
      <c r="J304" s="34">
        <v>46313</v>
      </c>
      <c r="K304" s="34">
        <v>46322</v>
      </c>
      <c r="L304" s="34"/>
      <c r="M304" s="17"/>
      <c r="N304" s="17">
        <f t="shared" si="16"/>
        <v>26.9</v>
      </c>
      <c r="O304" s="17" t="str">
        <f t="shared" si="17"/>
        <v>Open</v>
      </c>
      <c r="P304" s="35">
        <f>IF($A304="","",IF($L304&lt;&gt;"",$L304,Settings!$C$3)-INT($B304))</f>
        <v>4</v>
      </c>
      <c r="Q304" s="17">
        <f>IF($O304&lt;&gt;"Open","",Settings!$C$3-IF($J304&lt;&gt;"",$J304,INT($B304)))</f>
        <v>1</v>
      </c>
      <c r="R304" s="17" t="str">
        <f>IF($A304="","",IF($O304="Closed","Closed",IF($F304="Unassigned","Unassigned",IF(AND($K304&lt;&gt;"",$K304&lt;Settings!$C$3),"Overdue",IF($Q304&gt;=Settings!$C$4,"Inactive","On Track")))))</f>
        <v>On Track</v>
      </c>
      <c r="S304" s="17" t="str">
        <f t="shared" si="18"/>
        <v>0-7 days</v>
      </c>
      <c r="T304" s="36">
        <f t="shared" si="19"/>
        <v>46296</v>
      </c>
      <c r="U304" s="33">
        <f>IF(AND($O304="Open",OR(Dashboard!$D$3="All",$F304=Dashboard!$D$3)),$H304+ROW()/100000,0)</f>
        <v>35500.003040000003</v>
      </c>
    </row>
    <row r="305" spans="1:21" x14ac:dyDescent="0.25">
      <c r="A305" s="17" t="s">
        <v>532</v>
      </c>
      <c r="B305" s="32">
        <v>46310.423611111102</v>
      </c>
      <c r="C305" s="17" t="s">
        <v>66</v>
      </c>
      <c r="D305" s="17" t="s">
        <v>429</v>
      </c>
      <c r="E305" s="17" t="s">
        <v>110</v>
      </c>
      <c r="F305" s="17" t="s">
        <v>85</v>
      </c>
      <c r="G305" s="17" t="s">
        <v>47</v>
      </c>
      <c r="H305" s="33">
        <v>28700</v>
      </c>
      <c r="I305" s="32">
        <v>46310.548611111102</v>
      </c>
      <c r="J305" s="34">
        <v>46310</v>
      </c>
      <c r="K305" s="34">
        <v>46317</v>
      </c>
      <c r="L305" s="34"/>
      <c r="M305" s="17"/>
      <c r="N305" s="17">
        <f t="shared" si="16"/>
        <v>3</v>
      </c>
      <c r="O305" s="17" t="str">
        <f t="shared" si="17"/>
        <v>Open</v>
      </c>
      <c r="P305" s="35">
        <f>IF($A305="","",IF($L305&lt;&gt;"",$L305,Settings!$C$3)-INT($B305))</f>
        <v>4</v>
      </c>
      <c r="Q305" s="17">
        <f>IF($O305&lt;&gt;"Open","",Settings!$C$3-IF($J305&lt;&gt;"",$J305,INT($B305)))</f>
        <v>4</v>
      </c>
      <c r="R305" s="17" t="str">
        <f>IF($A305="","",IF($O305="Closed","Closed",IF($F305="Unassigned","Unassigned",IF(AND($K305&lt;&gt;"",$K305&lt;Settings!$C$3),"Overdue",IF($Q305&gt;=Settings!$C$4,"Inactive","On Track")))))</f>
        <v>On Track</v>
      </c>
      <c r="S305" s="17" t="str">
        <f t="shared" si="18"/>
        <v>0-7 days</v>
      </c>
      <c r="T305" s="36">
        <f t="shared" si="19"/>
        <v>46296</v>
      </c>
      <c r="U305" s="33">
        <f>IF(AND($O305="Open",OR(Dashboard!$D$3="All",$F305=Dashboard!$D$3)),$H305+ROW()/100000,0)</f>
        <v>28700.003049999999</v>
      </c>
    </row>
    <row r="306" spans="1:21" x14ac:dyDescent="0.25">
      <c r="A306" s="17" t="s">
        <v>533</v>
      </c>
      <c r="B306" s="32">
        <v>46310.583333333299</v>
      </c>
      <c r="C306" s="17" t="s">
        <v>64</v>
      </c>
      <c r="D306" s="17" t="s">
        <v>207</v>
      </c>
      <c r="E306" s="17" t="s">
        <v>138</v>
      </c>
      <c r="F306" s="17" t="s">
        <v>84</v>
      </c>
      <c r="G306" s="17" t="s">
        <v>47</v>
      </c>
      <c r="H306" s="33">
        <v>102800</v>
      </c>
      <c r="I306" s="32">
        <v>46310.733333333301</v>
      </c>
      <c r="J306" s="34">
        <v>46311</v>
      </c>
      <c r="K306" s="34">
        <v>46320</v>
      </c>
      <c r="L306" s="34"/>
      <c r="M306" s="17"/>
      <c r="N306" s="17">
        <f t="shared" si="16"/>
        <v>3.6</v>
      </c>
      <c r="O306" s="17" t="str">
        <f t="shared" si="17"/>
        <v>Open</v>
      </c>
      <c r="P306" s="35">
        <f>IF($A306="","",IF($L306&lt;&gt;"",$L306,Settings!$C$3)-INT($B306))</f>
        <v>4</v>
      </c>
      <c r="Q306" s="17">
        <f>IF($O306&lt;&gt;"Open","",Settings!$C$3-IF($J306&lt;&gt;"",$J306,INT($B306)))</f>
        <v>3</v>
      </c>
      <c r="R306" s="17" t="str">
        <f>IF($A306="","",IF($O306="Closed","Closed",IF($F306="Unassigned","Unassigned",IF(AND($K306&lt;&gt;"",$K306&lt;Settings!$C$3),"Overdue",IF($Q306&gt;=Settings!$C$4,"Inactive","On Track")))))</f>
        <v>On Track</v>
      </c>
      <c r="S306" s="17" t="str">
        <f t="shared" si="18"/>
        <v>0-7 days</v>
      </c>
      <c r="T306" s="36">
        <f t="shared" si="19"/>
        <v>46296</v>
      </c>
      <c r="U306" s="33">
        <f>IF(AND($O306="Open",OR(Dashboard!$D$3="All",$F306=Dashboard!$D$3)),$H306+ROW()/100000,0)</f>
        <v>102800.00306</v>
      </c>
    </row>
    <row r="307" spans="1:21" x14ac:dyDescent="0.25">
      <c r="A307" s="17" t="s">
        <v>534</v>
      </c>
      <c r="B307" s="32">
        <v>46310.590277777803</v>
      </c>
      <c r="C307" s="17" t="s">
        <v>63</v>
      </c>
      <c r="D307" s="17" t="s">
        <v>535</v>
      </c>
      <c r="E307" s="17" t="s">
        <v>147</v>
      </c>
      <c r="F307" s="17" t="s">
        <v>82</v>
      </c>
      <c r="G307" s="17" t="s">
        <v>48</v>
      </c>
      <c r="H307" s="33">
        <v>58900</v>
      </c>
      <c r="I307" s="32">
        <v>46311.348611111098</v>
      </c>
      <c r="J307" s="34">
        <v>46311</v>
      </c>
      <c r="K307" s="34">
        <v>46316</v>
      </c>
      <c r="L307" s="34"/>
      <c r="M307" s="17"/>
      <c r="N307" s="17">
        <f t="shared" si="16"/>
        <v>18.2</v>
      </c>
      <c r="O307" s="17" t="str">
        <f t="shared" si="17"/>
        <v>Open</v>
      </c>
      <c r="P307" s="35">
        <f>IF($A307="","",IF($L307&lt;&gt;"",$L307,Settings!$C$3)-INT($B307))</f>
        <v>4</v>
      </c>
      <c r="Q307" s="17">
        <f>IF($O307&lt;&gt;"Open","",Settings!$C$3-IF($J307&lt;&gt;"",$J307,INT($B307)))</f>
        <v>3</v>
      </c>
      <c r="R307" s="17" t="str">
        <f>IF($A307="","",IF($O307="Closed","Closed",IF($F307="Unassigned","Unassigned",IF(AND($K307&lt;&gt;"",$K307&lt;Settings!$C$3),"Overdue",IF($Q307&gt;=Settings!$C$4,"Inactive","On Track")))))</f>
        <v>On Track</v>
      </c>
      <c r="S307" s="17" t="str">
        <f t="shared" si="18"/>
        <v>0-7 days</v>
      </c>
      <c r="T307" s="36">
        <f t="shared" si="19"/>
        <v>46296</v>
      </c>
      <c r="U307" s="33">
        <f>IF(AND($O307="Open",OR(Dashboard!$D$3="All",$F307=Dashboard!$D$3)),$H307+ROW()/100000,0)</f>
        <v>58900.003069999999</v>
      </c>
    </row>
    <row r="308" spans="1:21" x14ac:dyDescent="0.25">
      <c r="A308" s="17" t="s">
        <v>536</v>
      </c>
      <c r="B308" s="32">
        <v>46310.597222222197</v>
      </c>
      <c r="C308" s="17" t="s">
        <v>63</v>
      </c>
      <c r="D308" s="17" t="s">
        <v>281</v>
      </c>
      <c r="E308" s="17" t="s">
        <v>113</v>
      </c>
      <c r="F308" s="17" t="s">
        <v>85</v>
      </c>
      <c r="G308" s="17" t="s">
        <v>48</v>
      </c>
      <c r="H308" s="33">
        <v>52400</v>
      </c>
      <c r="I308" s="32">
        <v>46310.8930555556</v>
      </c>
      <c r="J308" s="34">
        <v>46310</v>
      </c>
      <c r="K308" s="34">
        <v>46315</v>
      </c>
      <c r="L308" s="34"/>
      <c r="M308" s="17"/>
      <c r="N308" s="17">
        <f t="shared" si="16"/>
        <v>7.1</v>
      </c>
      <c r="O308" s="17" t="str">
        <f t="shared" si="17"/>
        <v>Open</v>
      </c>
      <c r="P308" s="35">
        <f>IF($A308="","",IF($L308&lt;&gt;"",$L308,Settings!$C$3)-INT($B308))</f>
        <v>4</v>
      </c>
      <c r="Q308" s="17">
        <f>IF($O308&lt;&gt;"Open","",Settings!$C$3-IF($J308&lt;&gt;"",$J308,INT($B308)))</f>
        <v>4</v>
      </c>
      <c r="R308" s="17" t="str">
        <f>IF($A308="","",IF($O308="Closed","Closed",IF($F308="Unassigned","Unassigned",IF(AND($K308&lt;&gt;"",$K308&lt;Settings!$C$3),"Overdue",IF($Q308&gt;=Settings!$C$4,"Inactive","On Track")))))</f>
        <v>On Track</v>
      </c>
      <c r="S308" s="17" t="str">
        <f t="shared" si="18"/>
        <v>0-7 days</v>
      </c>
      <c r="T308" s="36">
        <f t="shared" si="19"/>
        <v>46296</v>
      </c>
      <c r="U308" s="33">
        <f>IF(AND($O308="Open",OR(Dashboard!$D$3="All",$F308=Dashboard!$D$3)),$H308+ROW()/100000,0)</f>
        <v>52400.003080000002</v>
      </c>
    </row>
    <row r="309" spans="1:21" x14ac:dyDescent="0.25">
      <c r="A309" s="17" t="s">
        <v>537</v>
      </c>
      <c r="B309" s="32">
        <v>46310.638888888898</v>
      </c>
      <c r="C309" s="17" t="s">
        <v>64</v>
      </c>
      <c r="D309" s="17" t="s">
        <v>131</v>
      </c>
      <c r="E309" s="17" t="s">
        <v>138</v>
      </c>
      <c r="F309" s="17" t="s">
        <v>85</v>
      </c>
      <c r="G309" s="17" t="s">
        <v>47</v>
      </c>
      <c r="H309" s="33">
        <v>29200</v>
      </c>
      <c r="I309" s="32">
        <v>46310.676388888904</v>
      </c>
      <c r="J309" s="34">
        <v>46310</v>
      </c>
      <c r="K309" s="34">
        <v>46313</v>
      </c>
      <c r="L309" s="34"/>
      <c r="M309" s="17"/>
      <c r="N309" s="17">
        <f t="shared" si="16"/>
        <v>0.9</v>
      </c>
      <c r="O309" s="17" t="str">
        <f t="shared" si="17"/>
        <v>Open</v>
      </c>
      <c r="P309" s="35">
        <f>IF($A309="","",IF($L309&lt;&gt;"",$L309,Settings!$C$3)-INT($B309))</f>
        <v>4</v>
      </c>
      <c r="Q309" s="17">
        <f>IF($O309&lt;&gt;"Open","",Settings!$C$3-IF($J309&lt;&gt;"",$J309,INT($B309)))</f>
        <v>4</v>
      </c>
      <c r="R309" s="17" t="str">
        <f>IF($A309="","",IF($O309="Closed","Closed",IF($F309="Unassigned","Unassigned",IF(AND($K309&lt;&gt;"",$K309&lt;Settings!$C$3),"Overdue",IF($Q309&gt;=Settings!$C$4,"Inactive","On Track")))))</f>
        <v>Overdue</v>
      </c>
      <c r="S309" s="17" t="str">
        <f t="shared" si="18"/>
        <v>0-7 days</v>
      </c>
      <c r="T309" s="36">
        <f t="shared" si="19"/>
        <v>46296</v>
      </c>
      <c r="U309" s="33">
        <f>IF(AND($O309="Open",OR(Dashboard!$D$3="All",$F309=Dashboard!$D$3)),$H309+ROW()/100000,0)</f>
        <v>29200.003089999998</v>
      </c>
    </row>
    <row r="310" spans="1:21" x14ac:dyDescent="0.25">
      <c r="A310" s="17" t="s">
        <v>538</v>
      </c>
      <c r="B310" s="32">
        <v>46311.423611111102</v>
      </c>
      <c r="C310" s="17" t="s">
        <v>63</v>
      </c>
      <c r="D310" s="17" t="s">
        <v>131</v>
      </c>
      <c r="E310" s="17" t="s">
        <v>110</v>
      </c>
      <c r="F310" s="17" t="s">
        <v>81</v>
      </c>
      <c r="G310" s="17" t="s">
        <v>47</v>
      </c>
      <c r="H310" s="33">
        <v>24900</v>
      </c>
      <c r="I310" s="32">
        <v>46311.531944444498</v>
      </c>
      <c r="J310" s="34">
        <v>46313</v>
      </c>
      <c r="K310" s="34">
        <v>46319</v>
      </c>
      <c r="L310" s="34"/>
      <c r="M310" s="17"/>
      <c r="N310" s="17">
        <f t="shared" si="16"/>
        <v>2.6</v>
      </c>
      <c r="O310" s="17" t="str">
        <f t="shared" si="17"/>
        <v>Open</v>
      </c>
      <c r="P310" s="35">
        <f>IF($A310="","",IF($L310&lt;&gt;"",$L310,Settings!$C$3)-INT($B310))</f>
        <v>3</v>
      </c>
      <c r="Q310" s="17">
        <f>IF($O310&lt;&gt;"Open","",Settings!$C$3-IF($J310&lt;&gt;"",$J310,INT($B310)))</f>
        <v>1</v>
      </c>
      <c r="R310" s="17" t="str">
        <f>IF($A310="","",IF($O310="Closed","Closed",IF($F310="Unassigned","Unassigned",IF(AND($K310&lt;&gt;"",$K310&lt;Settings!$C$3),"Overdue",IF($Q310&gt;=Settings!$C$4,"Inactive","On Track")))))</f>
        <v>On Track</v>
      </c>
      <c r="S310" s="17" t="str">
        <f t="shared" si="18"/>
        <v>0-7 days</v>
      </c>
      <c r="T310" s="36">
        <f t="shared" si="19"/>
        <v>46296</v>
      </c>
      <c r="U310" s="33">
        <f>IF(AND($O310="Open",OR(Dashboard!$D$3="All",$F310=Dashboard!$D$3)),$H310+ROW()/100000,0)</f>
        <v>24900.003100000002</v>
      </c>
    </row>
    <row r="311" spans="1:21" x14ac:dyDescent="0.25">
      <c r="A311" s="17" t="s">
        <v>539</v>
      </c>
      <c r="B311" s="32">
        <v>46312.333333333299</v>
      </c>
      <c r="C311" s="17" t="s">
        <v>65</v>
      </c>
      <c r="D311" s="17" t="s">
        <v>227</v>
      </c>
      <c r="E311" s="17" t="s">
        <v>116</v>
      </c>
      <c r="F311" s="17" t="s">
        <v>81</v>
      </c>
      <c r="G311" s="17" t="s">
        <v>45</v>
      </c>
      <c r="H311" s="33">
        <v>36800</v>
      </c>
      <c r="I311" s="32"/>
      <c r="J311" s="34"/>
      <c r="K311" s="34">
        <v>46315</v>
      </c>
      <c r="L311" s="34"/>
      <c r="M311" s="17"/>
      <c r="N311" s="17" t="str">
        <f t="shared" si="16"/>
        <v/>
      </c>
      <c r="O311" s="17" t="str">
        <f t="shared" si="17"/>
        <v>Open</v>
      </c>
      <c r="P311" s="35">
        <f>IF($A311="","",IF($L311&lt;&gt;"",$L311,Settings!$C$3)-INT($B311))</f>
        <v>2</v>
      </c>
      <c r="Q311" s="35">
        <f>IF($O311&lt;&gt;"Open","",Settings!$C$3-IF($J311&lt;&gt;"",$J311,INT($B311)))</f>
        <v>2</v>
      </c>
      <c r="R311" s="17" t="str">
        <f>IF($A311="","",IF($O311="Closed","Closed",IF($F311="Unassigned","Unassigned",IF(AND($K311&lt;&gt;"",$K311&lt;Settings!$C$3),"Overdue",IF($Q311&gt;=Settings!$C$4,"Inactive","On Track")))))</f>
        <v>On Track</v>
      </c>
      <c r="S311" s="17" t="str">
        <f t="shared" si="18"/>
        <v>0-7 days</v>
      </c>
      <c r="T311" s="36">
        <f t="shared" si="19"/>
        <v>46296</v>
      </c>
      <c r="U311" s="33">
        <f>IF(AND($O311="Open",OR(Dashboard!$D$3="All",$F311=Dashboard!$D$3)),$H311+ROW()/100000,0)</f>
        <v>36800.003109999998</v>
      </c>
    </row>
    <row r="312" spans="1:21" x14ac:dyDescent="0.25">
      <c r="A312" s="17" t="s">
        <v>540</v>
      </c>
      <c r="B312" s="32">
        <v>46312.347222222197</v>
      </c>
      <c r="C312" s="17" t="s">
        <v>69</v>
      </c>
      <c r="D312" s="17" t="s">
        <v>165</v>
      </c>
      <c r="E312" s="17" t="s">
        <v>113</v>
      </c>
      <c r="F312" s="17" t="s">
        <v>86</v>
      </c>
      <c r="G312" s="17" t="s">
        <v>45</v>
      </c>
      <c r="H312" s="33">
        <v>15200</v>
      </c>
      <c r="I312" s="32"/>
      <c r="J312" s="34"/>
      <c r="K312" s="34"/>
      <c r="L312" s="34"/>
      <c r="M312" s="17"/>
      <c r="N312" s="17" t="str">
        <f t="shared" si="16"/>
        <v/>
      </c>
      <c r="O312" s="17" t="str">
        <f t="shared" si="17"/>
        <v>Open</v>
      </c>
      <c r="P312" s="35">
        <f>IF($A312="","",IF($L312&lt;&gt;"",$L312,Settings!$C$3)-INT($B312))</f>
        <v>2</v>
      </c>
      <c r="Q312" s="35">
        <f>IF($O312&lt;&gt;"Open","",Settings!$C$3-IF($J312&lt;&gt;"",$J312,INT($B312)))</f>
        <v>2</v>
      </c>
      <c r="R312" s="17" t="str">
        <f>IF($A312="","",IF($O312="Closed","Closed",IF($F312="Unassigned","Unassigned",IF(AND($K312&lt;&gt;"",$K312&lt;Settings!$C$3),"Overdue",IF($Q312&gt;=Settings!$C$4,"Inactive","On Track")))))</f>
        <v>Unassigned</v>
      </c>
      <c r="S312" s="17" t="str">
        <f t="shared" si="18"/>
        <v>0-7 days</v>
      </c>
      <c r="T312" s="36">
        <f t="shared" si="19"/>
        <v>46296</v>
      </c>
      <c r="U312" s="33">
        <f>IF(AND($O312="Open",OR(Dashboard!$D$3="All",$F312=Dashboard!$D$3)),$H312+ROW()/100000,0)</f>
        <v>15200.003119999999</v>
      </c>
    </row>
    <row r="313" spans="1:21" x14ac:dyDescent="0.25">
      <c r="A313" s="17" t="s">
        <v>541</v>
      </c>
      <c r="B313" s="32">
        <v>46312.361111111102</v>
      </c>
      <c r="C313" s="17" t="s">
        <v>62</v>
      </c>
      <c r="D313" s="17" t="s">
        <v>399</v>
      </c>
      <c r="E313" s="17" t="s">
        <v>116</v>
      </c>
      <c r="F313" s="17" t="s">
        <v>86</v>
      </c>
      <c r="G313" s="17" t="s">
        <v>45</v>
      </c>
      <c r="H313" s="33">
        <v>18700</v>
      </c>
      <c r="I313" s="32"/>
      <c r="J313" s="34"/>
      <c r="K313" s="34"/>
      <c r="L313" s="34"/>
      <c r="M313" s="17"/>
      <c r="N313" s="17" t="str">
        <f t="shared" si="16"/>
        <v/>
      </c>
      <c r="O313" s="17" t="str">
        <f t="shared" si="17"/>
        <v>Open</v>
      </c>
      <c r="P313" s="35">
        <f>IF($A313="","",IF($L313&lt;&gt;"",$L313,Settings!$C$3)-INT($B313))</f>
        <v>2</v>
      </c>
      <c r="Q313" s="35">
        <f>IF($O313&lt;&gt;"Open","",Settings!$C$3-IF($J313&lt;&gt;"",$J313,INT($B313)))</f>
        <v>2</v>
      </c>
      <c r="R313" s="17" t="str">
        <f>IF($A313="","",IF($O313="Closed","Closed",IF($F313="Unassigned","Unassigned",IF(AND($K313&lt;&gt;"",$K313&lt;Settings!$C$3),"Overdue",IF($Q313&gt;=Settings!$C$4,"Inactive","On Track")))))</f>
        <v>Unassigned</v>
      </c>
      <c r="S313" s="17" t="str">
        <f t="shared" si="18"/>
        <v>0-7 days</v>
      </c>
      <c r="T313" s="36">
        <f t="shared" si="19"/>
        <v>46296</v>
      </c>
      <c r="U313" s="33">
        <f>IF(AND($O313="Open",OR(Dashboard!$D$3="All",$F313=Dashboard!$D$3)),$H313+ROW()/100000,0)</f>
        <v>18700.003130000001</v>
      </c>
    </row>
    <row r="314" spans="1:21" x14ac:dyDescent="0.25">
      <c r="A314" s="17" t="s">
        <v>542</v>
      </c>
      <c r="B314" s="32">
        <v>46312.368055555598</v>
      </c>
      <c r="C314" s="17" t="s">
        <v>66</v>
      </c>
      <c r="D314" s="17" t="s">
        <v>277</v>
      </c>
      <c r="E314" s="17" t="s">
        <v>116</v>
      </c>
      <c r="F314" s="17" t="s">
        <v>82</v>
      </c>
      <c r="G314" s="17" t="s">
        <v>45</v>
      </c>
      <c r="H314" s="33">
        <v>22000</v>
      </c>
      <c r="I314" s="32"/>
      <c r="J314" s="34"/>
      <c r="K314" s="34">
        <v>46315</v>
      </c>
      <c r="L314" s="34"/>
      <c r="M314" s="17"/>
      <c r="N314" s="17" t="str">
        <f t="shared" si="16"/>
        <v/>
      </c>
      <c r="O314" s="17" t="str">
        <f t="shared" si="17"/>
        <v>Open</v>
      </c>
      <c r="P314" s="35">
        <f>IF($A314="","",IF($L314&lt;&gt;"",$L314,Settings!$C$3)-INT($B314))</f>
        <v>2</v>
      </c>
      <c r="Q314" s="35">
        <f>IF($O314&lt;&gt;"Open","",Settings!$C$3-IF($J314&lt;&gt;"",$J314,INT($B314)))</f>
        <v>2</v>
      </c>
      <c r="R314" s="17" t="str">
        <f>IF($A314="","",IF($O314="Closed","Closed",IF($F314="Unassigned","Unassigned",IF(AND($K314&lt;&gt;"",$K314&lt;Settings!$C$3),"Overdue",IF($Q314&gt;=Settings!$C$4,"Inactive","On Track")))))</f>
        <v>On Track</v>
      </c>
      <c r="S314" s="17" t="str">
        <f t="shared" si="18"/>
        <v>0-7 days</v>
      </c>
      <c r="T314" s="36">
        <f t="shared" si="19"/>
        <v>46296</v>
      </c>
      <c r="U314" s="33">
        <f>IF(AND($O314="Open",OR(Dashboard!$D$3="All",$F314=Dashboard!$D$3)),$H314+ROW()/100000,0)</f>
        <v>22000.003140000001</v>
      </c>
    </row>
    <row r="315" spans="1:21" x14ac:dyDescent="0.25">
      <c r="A315" s="17" t="s">
        <v>543</v>
      </c>
      <c r="B315" s="32">
        <v>46312.381944444503</v>
      </c>
      <c r="C315" s="17" t="s">
        <v>64</v>
      </c>
      <c r="D315" s="17" t="s">
        <v>454</v>
      </c>
      <c r="E315" s="17" t="s">
        <v>147</v>
      </c>
      <c r="F315" s="17" t="s">
        <v>81</v>
      </c>
      <c r="G315" s="17" t="s">
        <v>45</v>
      </c>
      <c r="H315" s="33">
        <v>43800</v>
      </c>
      <c r="I315" s="32"/>
      <c r="J315" s="34"/>
      <c r="K315" s="34">
        <v>46315</v>
      </c>
      <c r="L315" s="34"/>
      <c r="M315" s="17"/>
      <c r="N315" s="17" t="str">
        <f t="shared" si="16"/>
        <v/>
      </c>
      <c r="O315" s="17" t="str">
        <f t="shared" si="17"/>
        <v>Open</v>
      </c>
      <c r="P315" s="35">
        <f>IF($A315="","",IF($L315&lt;&gt;"",$L315,Settings!$C$3)-INT($B315))</f>
        <v>2</v>
      </c>
      <c r="Q315" s="35">
        <f>IF($O315&lt;&gt;"Open","",Settings!$C$3-IF($J315&lt;&gt;"",$J315,INT($B315)))</f>
        <v>2</v>
      </c>
      <c r="R315" s="17" t="str">
        <f>IF($A315="","",IF($O315="Closed","Closed",IF($F315="Unassigned","Unassigned",IF(AND($K315&lt;&gt;"",$K315&lt;Settings!$C$3),"Overdue",IF($Q315&gt;=Settings!$C$4,"Inactive","On Track")))))</f>
        <v>On Track</v>
      </c>
      <c r="S315" s="17" t="str">
        <f t="shared" si="18"/>
        <v>0-7 days</v>
      </c>
      <c r="T315" s="36">
        <f t="shared" si="19"/>
        <v>46296</v>
      </c>
      <c r="U315" s="33">
        <f>IF(AND($O315="Open",OR(Dashboard!$D$3="All",$F315=Dashboard!$D$3)),$H315+ROW()/100000,0)</f>
        <v>43800.003149999997</v>
      </c>
    </row>
    <row r="316" spans="1:21" x14ac:dyDescent="0.25">
      <c r="A316" s="17" t="s">
        <v>544</v>
      </c>
      <c r="B316" s="32">
        <v>46312.611111111102</v>
      </c>
      <c r="C316" s="17" t="s">
        <v>63</v>
      </c>
      <c r="D316" s="17" t="s">
        <v>195</v>
      </c>
      <c r="E316" s="17" t="s">
        <v>147</v>
      </c>
      <c r="F316" s="17" t="s">
        <v>85</v>
      </c>
      <c r="G316" s="17" t="s">
        <v>47</v>
      </c>
      <c r="H316" s="33">
        <v>29200</v>
      </c>
      <c r="I316" s="32">
        <v>46312.723611111098</v>
      </c>
      <c r="J316" s="34">
        <v>46312</v>
      </c>
      <c r="K316" s="34">
        <v>46314</v>
      </c>
      <c r="L316" s="34"/>
      <c r="M316" s="17"/>
      <c r="N316" s="17">
        <f t="shared" si="16"/>
        <v>2.7</v>
      </c>
      <c r="O316" s="17" t="str">
        <f t="shared" si="17"/>
        <v>Open</v>
      </c>
      <c r="P316" s="35">
        <f>IF($A316="","",IF($L316&lt;&gt;"",$L316,Settings!$C$3)-INT($B316))</f>
        <v>2</v>
      </c>
      <c r="Q316" s="17">
        <f>IF($O316&lt;&gt;"Open","",Settings!$C$3-IF($J316&lt;&gt;"",$J316,INT($B316)))</f>
        <v>2</v>
      </c>
      <c r="R316" s="17" t="str">
        <f>IF($A316="","",IF($O316="Closed","Closed",IF($F316="Unassigned","Unassigned",IF(AND($K316&lt;&gt;"",$K316&lt;Settings!$C$3),"Overdue",IF($Q316&gt;=Settings!$C$4,"Inactive","On Track")))))</f>
        <v>On Track</v>
      </c>
      <c r="S316" s="17" t="str">
        <f t="shared" si="18"/>
        <v>0-7 days</v>
      </c>
      <c r="T316" s="36">
        <f t="shared" si="19"/>
        <v>46296</v>
      </c>
      <c r="U316" s="33">
        <f>IF(AND($O316="Open",OR(Dashboard!$D$3="All",$F316=Dashboard!$D$3)),$H316+ROW()/100000,0)</f>
        <v>29200.00316</v>
      </c>
    </row>
    <row r="317" spans="1:21" x14ac:dyDescent="0.25">
      <c r="A317" s="17" t="s">
        <v>545</v>
      </c>
      <c r="B317" s="32">
        <v>46313.590277777803</v>
      </c>
      <c r="C317" s="17" t="s">
        <v>64</v>
      </c>
      <c r="D317" s="17" t="s">
        <v>146</v>
      </c>
      <c r="E317" s="17" t="s">
        <v>123</v>
      </c>
      <c r="F317" s="17" t="s">
        <v>83</v>
      </c>
      <c r="G317" s="17" t="s">
        <v>45</v>
      </c>
      <c r="H317" s="33">
        <v>24900</v>
      </c>
      <c r="I317" s="32"/>
      <c r="J317" s="34"/>
      <c r="K317" s="34">
        <v>46315</v>
      </c>
      <c r="L317" s="34"/>
      <c r="M317" s="17"/>
      <c r="N317" s="17" t="str">
        <f t="shared" si="16"/>
        <v/>
      </c>
      <c r="O317" s="17" t="str">
        <f t="shared" si="17"/>
        <v>Open</v>
      </c>
      <c r="P317" s="35">
        <f>IF($A317="","",IF($L317&lt;&gt;"",$L317,Settings!$C$3)-INT($B317))</f>
        <v>1</v>
      </c>
      <c r="Q317" s="35">
        <f>IF($O317&lt;&gt;"Open","",Settings!$C$3-IF($J317&lt;&gt;"",$J317,INT($B317)))</f>
        <v>1</v>
      </c>
      <c r="R317" s="17" t="str">
        <f>IF($A317="","",IF($O317="Closed","Closed",IF($F317="Unassigned","Unassigned",IF(AND($K317&lt;&gt;"",$K317&lt;Settings!$C$3),"Overdue",IF($Q317&gt;=Settings!$C$4,"Inactive","On Track")))))</f>
        <v>On Track</v>
      </c>
      <c r="S317" s="17" t="str">
        <f t="shared" si="18"/>
        <v>0-7 days</v>
      </c>
      <c r="T317" s="36">
        <f t="shared" si="19"/>
        <v>46296</v>
      </c>
      <c r="U317" s="33">
        <f>IF(AND($O317="Open",OR(Dashboard!$D$3="All",$F317=Dashboard!$D$3)),$H317+ROW()/100000,0)</f>
        <v>24900.00317</v>
      </c>
    </row>
    <row r="318" spans="1:21" x14ac:dyDescent="0.25">
      <c r="A318" s="17" t="s">
        <v>546</v>
      </c>
      <c r="B318" s="32">
        <v>46313.604166666701</v>
      </c>
      <c r="C318" s="17" t="s">
        <v>66</v>
      </c>
      <c r="D318" s="17" t="s">
        <v>547</v>
      </c>
      <c r="E318" s="17" t="s">
        <v>123</v>
      </c>
      <c r="F318" s="17" t="s">
        <v>82</v>
      </c>
      <c r="G318" s="17" t="s">
        <v>46</v>
      </c>
      <c r="H318" s="33">
        <v>13400</v>
      </c>
      <c r="I318" s="32">
        <v>46313.679166666698</v>
      </c>
      <c r="J318" s="34">
        <v>46313</v>
      </c>
      <c r="K318" s="34">
        <v>46317</v>
      </c>
      <c r="L318" s="34"/>
      <c r="M318" s="17"/>
      <c r="N318" s="17">
        <f t="shared" si="16"/>
        <v>1.8</v>
      </c>
      <c r="O318" s="17" t="str">
        <f t="shared" si="17"/>
        <v>Open</v>
      </c>
      <c r="P318" s="35">
        <f>IF($A318="","",IF($L318&lt;&gt;"",$L318,Settings!$C$3)-INT($B318))</f>
        <v>1</v>
      </c>
      <c r="Q318" s="17">
        <f>IF($O318&lt;&gt;"Open","",Settings!$C$3-IF($J318&lt;&gt;"",$J318,INT($B318)))</f>
        <v>1</v>
      </c>
      <c r="R318" s="17" t="str">
        <f>IF($A318="","",IF($O318="Closed","Closed",IF($F318="Unassigned","Unassigned",IF(AND($K318&lt;&gt;"",$K318&lt;Settings!$C$3),"Overdue",IF($Q318&gt;=Settings!$C$4,"Inactive","On Track")))))</f>
        <v>On Track</v>
      </c>
      <c r="S318" s="17" t="str">
        <f t="shared" si="18"/>
        <v>0-7 days</v>
      </c>
      <c r="T318" s="36">
        <f t="shared" si="19"/>
        <v>46296</v>
      </c>
      <c r="U318" s="33">
        <f>IF(AND($O318="Open",OR(Dashboard!$D$3="All",$F318=Dashboard!$D$3)),$H318+ROW()/100000,0)</f>
        <v>13400.00318</v>
      </c>
    </row>
    <row r="319" spans="1:21" x14ac:dyDescent="0.25">
      <c r="A319" s="17" t="s">
        <v>548</v>
      </c>
      <c r="B319" s="32">
        <v>46313.638888888898</v>
      </c>
      <c r="C319" s="17" t="s">
        <v>62</v>
      </c>
      <c r="D319" s="17" t="s">
        <v>399</v>
      </c>
      <c r="E319" s="17" t="s">
        <v>138</v>
      </c>
      <c r="F319" s="17" t="s">
        <v>80</v>
      </c>
      <c r="G319" s="17" t="s">
        <v>46</v>
      </c>
      <c r="H319" s="33">
        <v>91900</v>
      </c>
      <c r="I319" s="32">
        <v>46314.068055555603</v>
      </c>
      <c r="J319" s="34">
        <v>46314</v>
      </c>
      <c r="K319" s="34">
        <v>46322</v>
      </c>
      <c r="L319" s="34"/>
      <c r="M319" s="17"/>
      <c r="N319" s="17">
        <f t="shared" si="16"/>
        <v>10.3</v>
      </c>
      <c r="O319" s="17" t="str">
        <f t="shared" si="17"/>
        <v>Open</v>
      </c>
      <c r="P319" s="35">
        <f>IF($A319="","",IF($L319&lt;&gt;"",$L319,Settings!$C$3)-INT($B319))</f>
        <v>1</v>
      </c>
      <c r="Q319" s="17">
        <f>IF($O319&lt;&gt;"Open","",Settings!$C$3-IF($J319&lt;&gt;"",$J319,INT($B319)))</f>
        <v>0</v>
      </c>
      <c r="R319" s="17" t="str">
        <f>IF($A319="","",IF($O319="Closed","Closed",IF($F319="Unassigned","Unassigned",IF(AND($K319&lt;&gt;"",$K319&lt;Settings!$C$3),"Overdue",IF($Q319&gt;=Settings!$C$4,"Inactive","On Track")))))</f>
        <v>On Track</v>
      </c>
      <c r="S319" s="17" t="str">
        <f t="shared" si="18"/>
        <v>0-7 days</v>
      </c>
      <c r="T319" s="36">
        <f t="shared" si="19"/>
        <v>46296</v>
      </c>
      <c r="U319" s="33">
        <f>IF(AND($O319="Open",OR(Dashboard!$D$3="All",$F319=Dashboard!$D$3)),$H319+ROW()/100000,0)</f>
        <v>91900.003190000003</v>
      </c>
    </row>
    <row r="320" spans="1:21" x14ac:dyDescent="0.25">
      <c r="A320" s="17" t="s">
        <v>549</v>
      </c>
      <c r="B320" s="32">
        <v>46313.715277777803</v>
      </c>
      <c r="C320" s="17" t="s">
        <v>66</v>
      </c>
      <c r="D320" s="17" t="s">
        <v>249</v>
      </c>
      <c r="E320" s="17" t="s">
        <v>123</v>
      </c>
      <c r="F320" s="17" t="s">
        <v>86</v>
      </c>
      <c r="G320" s="17" t="s">
        <v>45</v>
      </c>
      <c r="H320" s="33">
        <v>74200</v>
      </c>
      <c r="I320" s="32"/>
      <c r="J320" s="34"/>
      <c r="K320" s="34"/>
      <c r="L320" s="34"/>
      <c r="M320" s="17"/>
      <c r="N320" s="17" t="str">
        <f t="shared" si="16"/>
        <v/>
      </c>
      <c r="O320" s="17" t="str">
        <f t="shared" si="17"/>
        <v>Open</v>
      </c>
      <c r="P320" s="35">
        <f>IF($A320="","",IF($L320&lt;&gt;"",$L320,Settings!$C$3)-INT($B320))</f>
        <v>1</v>
      </c>
      <c r="Q320" s="35">
        <f>IF($O320&lt;&gt;"Open","",Settings!$C$3-IF($J320&lt;&gt;"",$J320,INT($B320)))</f>
        <v>1</v>
      </c>
      <c r="R320" s="17" t="str">
        <f>IF($A320="","",IF($O320="Closed","Closed",IF($F320="Unassigned","Unassigned",IF(AND($K320&lt;&gt;"",$K320&lt;Settings!$C$3),"Overdue",IF($Q320&gt;=Settings!$C$4,"Inactive","On Track")))))</f>
        <v>Unassigned</v>
      </c>
      <c r="S320" s="17" t="str">
        <f t="shared" si="18"/>
        <v>0-7 days</v>
      </c>
      <c r="T320" s="36">
        <f t="shared" si="19"/>
        <v>46296</v>
      </c>
      <c r="U320" s="33">
        <f>IF(AND($O320="Open",OR(Dashboard!$D$3="All",$F320=Dashboard!$D$3)),$H320+ROW()/100000,0)</f>
        <v>74200.003200000006</v>
      </c>
    </row>
    <row r="321" spans="1:21" x14ac:dyDescent="0.25">
      <c r="A321" s="17" t="s">
        <v>550</v>
      </c>
      <c r="B321" s="32">
        <v>46314.347222222197</v>
      </c>
      <c r="C321" s="17" t="s">
        <v>63</v>
      </c>
      <c r="D321" s="17" t="s">
        <v>199</v>
      </c>
      <c r="E321" s="17" t="s">
        <v>113</v>
      </c>
      <c r="F321" s="17" t="s">
        <v>86</v>
      </c>
      <c r="G321" s="17" t="s">
        <v>45</v>
      </c>
      <c r="H321" s="33">
        <v>9400</v>
      </c>
      <c r="I321" s="32"/>
      <c r="J321" s="34"/>
      <c r="K321" s="34"/>
      <c r="L321" s="34"/>
      <c r="M321" s="17"/>
      <c r="N321" s="17" t="str">
        <f t="shared" si="16"/>
        <v/>
      </c>
      <c r="O321" s="17" t="str">
        <f t="shared" si="17"/>
        <v>Open</v>
      </c>
      <c r="P321" s="35">
        <f>IF($A321="","",IF($L321&lt;&gt;"",$L321,Settings!$C$3)-INT($B321))</f>
        <v>0</v>
      </c>
      <c r="Q321" s="35">
        <f>IF($O321&lt;&gt;"Open","",Settings!$C$3-IF($J321&lt;&gt;"",$J321,INT($B321)))</f>
        <v>0</v>
      </c>
      <c r="R321" s="17" t="str">
        <f>IF($A321="","",IF($O321="Closed","Closed",IF($F321="Unassigned","Unassigned",IF(AND($K321&lt;&gt;"",$K321&lt;Settings!$C$3),"Overdue",IF($Q321&gt;=Settings!$C$4,"Inactive","On Track")))))</f>
        <v>Unassigned</v>
      </c>
      <c r="S321" s="17" t="str">
        <f t="shared" si="18"/>
        <v>0-7 days</v>
      </c>
      <c r="T321" s="36">
        <f t="shared" si="19"/>
        <v>46296</v>
      </c>
      <c r="U321" s="33">
        <f>IF(AND($O321="Open",OR(Dashboard!$D$3="All",$F321=Dashboard!$D$3)),$H321+ROW()/100000,0)</f>
        <v>9400.0032100000008</v>
      </c>
    </row>
    <row r="322" spans="1:21" x14ac:dyDescent="0.25">
      <c r="B322" s="37"/>
      <c r="H322" s="38"/>
      <c r="I322" s="37"/>
      <c r="J322" s="39"/>
      <c r="K322" s="39"/>
      <c r="L322" s="39"/>
      <c r="N322" s="17" t="str">
        <f t="shared" ref="N322:N385" si="20">IF(OR($A322="",$I322=""),"",ROUND(($I322-$B322)*24,1))</f>
        <v/>
      </c>
      <c r="O322" s="17" t="str">
        <f t="shared" ref="O322:O385" si="21">IF($A322="","",IF(OR($G322="Won",$G322="Lost"),"Closed","Open"))</f>
        <v/>
      </c>
      <c r="P322" s="17" t="str">
        <f>IF($A322="","",IF($L322&lt;&gt;"",$L322,Settings!$C$3)-INT($B322))</f>
        <v/>
      </c>
      <c r="Q322" s="17" t="str">
        <f>IF($O322&lt;&gt;"Open","",Settings!$C$3-IF($J322&lt;&gt;"",$J322,INT($B322)))</f>
        <v/>
      </c>
      <c r="R322" s="17" t="str">
        <f>IF($A322="","",IF($O322="Closed","Closed",IF($F322="Unassigned","Unassigned",IF(AND($K322&lt;&gt;"",$K322&lt;Settings!$C$3),"Overdue",IF($Q322&gt;=Settings!$C$4,"Inactive","On Track")))))</f>
        <v/>
      </c>
      <c r="S322" s="17" t="str">
        <f t="shared" ref="S322:S385" si="22">IF($O322&lt;&gt;"Open","",IF($P322&lt;=7,"0-7 days",IF($P322&lt;=15,"8-15 days",IF($P322&lt;=30,"16-30 days",IF($P322&lt;=60,"31-60 days","60+ days")))))</f>
        <v/>
      </c>
      <c r="T322" s="36" t="str">
        <f t="shared" ref="T322:T385" si="23">IF($A322="","",DATE(YEAR($B322),MONTH($B322),1))</f>
        <v/>
      </c>
      <c r="U322" s="33">
        <f>IF(AND($O322="Open",OR(Dashboard!$D$3="All",$F322=Dashboard!$D$3)),$H322+ROW()/100000,0)</f>
        <v>0</v>
      </c>
    </row>
    <row r="323" spans="1:21" x14ac:dyDescent="0.25">
      <c r="B323" s="37"/>
      <c r="H323" s="38"/>
      <c r="I323" s="37"/>
      <c r="J323" s="39"/>
      <c r="K323" s="39"/>
      <c r="L323" s="39"/>
      <c r="N323" s="17" t="str">
        <f t="shared" si="20"/>
        <v/>
      </c>
      <c r="O323" s="17" t="str">
        <f t="shared" si="21"/>
        <v/>
      </c>
      <c r="P323" s="17" t="str">
        <f>IF($A323="","",IF($L323&lt;&gt;"",$L323,Settings!$C$3)-INT($B323))</f>
        <v/>
      </c>
      <c r="Q323" s="17" t="str">
        <f>IF($O323&lt;&gt;"Open","",Settings!$C$3-IF($J323&lt;&gt;"",$J323,INT($B323)))</f>
        <v/>
      </c>
      <c r="R323" s="17" t="str">
        <f>IF($A323="","",IF($O323="Closed","Closed",IF($F323="Unassigned","Unassigned",IF(AND($K323&lt;&gt;"",$K323&lt;Settings!$C$3),"Overdue",IF($Q323&gt;=Settings!$C$4,"Inactive","On Track")))))</f>
        <v/>
      </c>
      <c r="S323" s="17" t="str">
        <f t="shared" si="22"/>
        <v/>
      </c>
      <c r="T323" s="36" t="str">
        <f t="shared" si="23"/>
        <v/>
      </c>
      <c r="U323" s="33">
        <f>IF(AND($O323="Open",OR(Dashboard!$D$3="All",$F323=Dashboard!$D$3)),$H323+ROW()/100000,0)</f>
        <v>0</v>
      </c>
    </row>
    <row r="324" spans="1:21" x14ac:dyDescent="0.25">
      <c r="B324" s="37"/>
      <c r="H324" s="38"/>
      <c r="I324" s="37"/>
      <c r="J324" s="39"/>
      <c r="K324" s="39"/>
      <c r="L324" s="39"/>
      <c r="N324" s="17" t="str">
        <f t="shared" si="20"/>
        <v/>
      </c>
      <c r="O324" s="17" t="str">
        <f t="shared" si="21"/>
        <v/>
      </c>
      <c r="P324" s="17" t="str">
        <f>IF($A324="","",IF($L324&lt;&gt;"",$L324,Settings!$C$3)-INT($B324))</f>
        <v/>
      </c>
      <c r="Q324" s="17" t="str">
        <f>IF($O324&lt;&gt;"Open","",Settings!$C$3-IF($J324&lt;&gt;"",$J324,INT($B324)))</f>
        <v/>
      </c>
      <c r="R324" s="17" t="str">
        <f>IF($A324="","",IF($O324="Closed","Closed",IF($F324="Unassigned","Unassigned",IF(AND($K324&lt;&gt;"",$K324&lt;Settings!$C$3),"Overdue",IF($Q324&gt;=Settings!$C$4,"Inactive","On Track")))))</f>
        <v/>
      </c>
      <c r="S324" s="17" t="str">
        <f t="shared" si="22"/>
        <v/>
      </c>
      <c r="T324" s="36" t="str">
        <f t="shared" si="23"/>
        <v/>
      </c>
      <c r="U324" s="33">
        <f>IF(AND($O324="Open",OR(Dashboard!$D$3="All",$F324=Dashboard!$D$3)),$H324+ROW()/100000,0)</f>
        <v>0</v>
      </c>
    </row>
    <row r="325" spans="1:21" x14ac:dyDescent="0.25">
      <c r="B325" s="37"/>
      <c r="H325" s="38"/>
      <c r="I325" s="37"/>
      <c r="J325" s="39"/>
      <c r="K325" s="39"/>
      <c r="L325" s="39"/>
      <c r="N325" s="17" t="str">
        <f t="shared" si="20"/>
        <v/>
      </c>
      <c r="O325" s="17" t="str">
        <f t="shared" si="21"/>
        <v/>
      </c>
      <c r="P325" s="17" t="str">
        <f>IF($A325="","",IF($L325&lt;&gt;"",$L325,Settings!$C$3)-INT($B325))</f>
        <v/>
      </c>
      <c r="Q325" s="17" t="str">
        <f>IF($O325&lt;&gt;"Open","",Settings!$C$3-IF($J325&lt;&gt;"",$J325,INT($B325)))</f>
        <v/>
      </c>
      <c r="R325" s="17" t="str">
        <f>IF($A325="","",IF($O325="Closed","Closed",IF($F325="Unassigned","Unassigned",IF(AND($K325&lt;&gt;"",$K325&lt;Settings!$C$3),"Overdue",IF($Q325&gt;=Settings!$C$4,"Inactive","On Track")))))</f>
        <v/>
      </c>
      <c r="S325" s="17" t="str">
        <f t="shared" si="22"/>
        <v/>
      </c>
      <c r="T325" s="36" t="str">
        <f t="shared" si="23"/>
        <v/>
      </c>
      <c r="U325" s="33">
        <f>IF(AND($O325="Open",OR(Dashboard!$D$3="All",$F325=Dashboard!$D$3)),$H325+ROW()/100000,0)</f>
        <v>0</v>
      </c>
    </row>
    <row r="326" spans="1:21" x14ac:dyDescent="0.25">
      <c r="B326" s="37"/>
      <c r="H326" s="38"/>
      <c r="I326" s="37"/>
      <c r="J326" s="39"/>
      <c r="K326" s="39"/>
      <c r="L326" s="39"/>
      <c r="N326" s="17" t="str">
        <f t="shared" si="20"/>
        <v/>
      </c>
      <c r="O326" s="17" t="str">
        <f t="shared" si="21"/>
        <v/>
      </c>
      <c r="P326" s="17" t="str">
        <f>IF($A326="","",IF($L326&lt;&gt;"",$L326,Settings!$C$3)-INT($B326))</f>
        <v/>
      </c>
      <c r="Q326" s="17" t="str">
        <f>IF($O326&lt;&gt;"Open","",Settings!$C$3-IF($J326&lt;&gt;"",$J326,INT($B326)))</f>
        <v/>
      </c>
      <c r="R326" s="17" t="str">
        <f>IF($A326="","",IF($O326="Closed","Closed",IF($F326="Unassigned","Unassigned",IF(AND($K326&lt;&gt;"",$K326&lt;Settings!$C$3),"Overdue",IF($Q326&gt;=Settings!$C$4,"Inactive","On Track")))))</f>
        <v/>
      </c>
      <c r="S326" s="17" t="str">
        <f t="shared" si="22"/>
        <v/>
      </c>
      <c r="T326" s="36" t="str">
        <f t="shared" si="23"/>
        <v/>
      </c>
      <c r="U326" s="33">
        <f>IF(AND($O326="Open",OR(Dashboard!$D$3="All",$F326=Dashboard!$D$3)),$H326+ROW()/100000,0)</f>
        <v>0</v>
      </c>
    </row>
    <row r="327" spans="1:21" x14ac:dyDescent="0.25">
      <c r="B327" s="37"/>
      <c r="H327" s="38"/>
      <c r="I327" s="37"/>
      <c r="J327" s="39"/>
      <c r="K327" s="39"/>
      <c r="L327" s="39"/>
      <c r="N327" s="17" t="str">
        <f t="shared" si="20"/>
        <v/>
      </c>
      <c r="O327" s="17" t="str">
        <f t="shared" si="21"/>
        <v/>
      </c>
      <c r="P327" s="17" t="str">
        <f>IF($A327="","",IF($L327&lt;&gt;"",$L327,Settings!$C$3)-INT($B327))</f>
        <v/>
      </c>
      <c r="Q327" s="17" t="str">
        <f>IF($O327&lt;&gt;"Open","",Settings!$C$3-IF($J327&lt;&gt;"",$J327,INT($B327)))</f>
        <v/>
      </c>
      <c r="R327" s="17" t="str">
        <f>IF($A327="","",IF($O327="Closed","Closed",IF($F327="Unassigned","Unassigned",IF(AND($K327&lt;&gt;"",$K327&lt;Settings!$C$3),"Overdue",IF($Q327&gt;=Settings!$C$4,"Inactive","On Track")))))</f>
        <v/>
      </c>
      <c r="S327" s="17" t="str">
        <f t="shared" si="22"/>
        <v/>
      </c>
      <c r="T327" s="36" t="str">
        <f t="shared" si="23"/>
        <v/>
      </c>
      <c r="U327" s="33">
        <f>IF(AND($O327="Open",OR(Dashboard!$D$3="All",$F327=Dashboard!$D$3)),$H327+ROW()/100000,0)</f>
        <v>0</v>
      </c>
    </row>
    <row r="328" spans="1:21" x14ac:dyDescent="0.25">
      <c r="B328" s="37"/>
      <c r="H328" s="38"/>
      <c r="I328" s="37"/>
      <c r="J328" s="39"/>
      <c r="K328" s="39"/>
      <c r="L328" s="39"/>
      <c r="N328" s="17" t="str">
        <f t="shared" si="20"/>
        <v/>
      </c>
      <c r="O328" s="17" t="str">
        <f t="shared" si="21"/>
        <v/>
      </c>
      <c r="P328" s="17" t="str">
        <f>IF($A328="","",IF($L328&lt;&gt;"",$L328,Settings!$C$3)-INT($B328))</f>
        <v/>
      </c>
      <c r="Q328" s="17" t="str">
        <f>IF($O328&lt;&gt;"Open","",Settings!$C$3-IF($J328&lt;&gt;"",$J328,INT($B328)))</f>
        <v/>
      </c>
      <c r="R328" s="17" t="str">
        <f>IF($A328="","",IF($O328="Closed","Closed",IF($F328="Unassigned","Unassigned",IF(AND($K328&lt;&gt;"",$K328&lt;Settings!$C$3),"Overdue",IF($Q328&gt;=Settings!$C$4,"Inactive","On Track")))))</f>
        <v/>
      </c>
      <c r="S328" s="17" t="str">
        <f t="shared" si="22"/>
        <v/>
      </c>
      <c r="T328" s="36" t="str">
        <f t="shared" si="23"/>
        <v/>
      </c>
      <c r="U328" s="33">
        <f>IF(AND($O328="Open",OR(Dashboard!$D$3="All",$F328=Dashboard!$D$3)),$H328+ROW()/100000,0)</f>
        <v>0</v>
      </c>
    </row>
    <row r="329" spans="1:21" x14ac:dyDescent="0.25">
      <c r="B329" s="37"/>
      <c r="H329" s="38"/>
      <c r="I329" s="37"/>
      <c r="J329" s="39"/>
      <c r="K329" s="39"/>
      <c r="L329" s="39"/>
      <c r="N329" s="17" t="str">
        <f t="shared" si="20"/>
        <v/>
      </c>
      <c r="O329" s="17" t="str">
        <f t="shared" si="21"/>
        <v/>
      </c>
      <c r="P329" s="17" t="str">
        <f>IF($A329="","",IF($L329&lt;&gt;"",$L329,Settings!$C$3)-INT($B329))</f>
        <v/>
      </c>
      <c r="Q329" s="17" t="str">
        <f>IF($O329&lt;&gt;"Open","",Settings!$C$3-IF($J329&lt;&gt;"",$J329,INT($B329)))</f>
        <v/>
      </c>
      <c r="R329" s="17" t="str">
        <f>IF($A329="","",IF($O329="Closed","Closed",IF($F329="Unassigned","Unassigned",IF(AND($K329&lt;&gt;"",$K329&lt;Settings!$C$3),"Overdue",IF($Q329&gt;=Settings!$C$4,"Inactive","On Track")))))</f>
        <v/>
      </c>
      <c r="S329" s="17" t="str">
        <f t="shared" si="22"/>
        <v/>
      </c>
      <c r="T329" s="36" t="str">
        <f t="shared" si="23"/>
        <v/>
      </c>
      <c r="U329" s="33">
        <f>IF(AND($O329="Open",OR(Dashboard!$D$3="All",$F329=Dashboard!$D$3)),$H329+ROW()/100000,0)</f>
        <v>0</v>
      </c>
    </row>
    <row r="330" spans="1:21" x14ac:dyDescent="0.25">
      <c r="B330" s="37"/>
      <c r="H330" s="38"/>
      <c r="I330" s="37"/>
      <c r="J330" s="39"/>
      <c r="K330" s="39"/>
      <c r="L330" s="39"/>
      <c r="N330" s="17" t="str">
        <f t="shared" si="20"/>
        <v/>
      </c>
      <c r="O330" s="17" t="str">
        <f t="shared" si="21"/>
        <v/>
      </c>
      <c r="P330" s="17" t="str">
        <f>IF($A330="","",IF($L330&lt;&gt;"",$L330,Settings!$C$3)-INT($B330))</f>
        <v/>
      </c>
      <c r="Q330" s="17" t="str">
        <f>IF($O330&lt;&gt;"Open","",Settings!$C$3-IF($J330&lt;&gt;"",$J330,INT($B330)))</f>
        <v/>
      </c>
      <c r="R330" s="17" t="str">
        <f>IF($A330="","",IF($O330="Closed","Closed",IF($F330="Unassigned","Unassigned",IF(AND($K330&lt;&gt;"",$K330&lt;Settings!$C$3),"Overdue",IF($Q330&gt;=Settings!$C$4,"Inactive","On Track")))))</f>
        <v/>
      </c>
      <c r="S330" s="17" t="str">
        <f t="shared" si="22"/>
        <v/>
      </c>
      <c r="T330" s="36" t="str">
        <f t="shared" si="23"/>
        <v/>
      </c>
      <c r="U330" s="33">
        <f>IF(AND($O330="Open",OR(Dashboard!$D$3="All",$F330=Dashboard!$D$3)),$H330+ROW()/100000,0)</f>
        <v>0</v>
      </c>
    </row>
    <row r="331" spans="1:21" x14ac:dyDescent="0.25">
      <c r="B331" s="37"/>
      <c r="H331" s="38"/>
      <c r="I331" s="37"/>
      <c r="J331" s="39"/>
      <c r="K331" s="39"/>
      <c r="L331" s="39"/>
      <c r="N331" s="17" t="str">
        <f t="shared" si="20"/>
        <v/>
      </c>
      <c r="O331" s="17" t="str">
        <f t="shared" si="21"/>
        <v/>
      </c>
      <c r="P331" s="17" t="str">
        <f>IF($A331="","",IF($L331&lt;&gt;"",$L331,Settings!$C$3)-INT($B331))</f>
        <v/>
      </c>
      <c r="Q331" s="17" t="str">
        <f>IF($O331&lt;&gt;"Open","",Settings!$C$3-IF($J331&lt;&gt;"",$J331,INT($B331)))</f>
        <v/>
      </c>
      <c r="R331" s="17" t="str">
        <f>IF($A331="","",IF($O331="Closed","Closed",IF($F331="Unassigned","Unassigned",IF(AND($K331&lt;&gt;"",$K331&lt;Settings!$C$3),"Overdue",IF($Q331&gt;=Settings!$C$4,"Inactive","On Track")))))</f>
        <v/>
      </c>
      <c r="S331" s="17" t="str">
        <f t="shared" si="22"/>
        <v/>
      </c>
      <c r="T331" s="36" t="str">
        <f t="shared" si="23"/>
        <v/>
      </c>
      <c r="U331" s="33">
        <f>IF(AND($O331="Open",OR(Dashboard!$D$3="All",$F331=Dashboard!$D$3)),$H331+ROW()/100000,0)</f>
        <v>0</v>
      </c>
    </row>
    <row r="332" spans="1:21" x14ac:dyDescent="0.25">
      <c r="B332" s="37"/>
      <c r="H332" s="38"/>
      <c r="I332" s="37"/>
      <c r="J332" s="39"/>
      <c r="K332" s="39"/>
      <c r="L332" s="39"/>
      <c r="N332" s="17" t="str">
        <f t="shared" si="20"/>
        <v/>
      </c>
      <c r="O332" s="17" t="str">
        <f t="shared" si="21"/>
        <v/>
      </c>
      <c r="P332" s="17" t="str">
        <f>IF($A332="","",IF($L332&lt;&gt;"",$L332,Settings!$C$3)-INT($B332))</f>
        <v/>
      </c>
      <c r="Q332" s="17" t="str">
        <f>IF($O332&lt;&gt;"Open","",Settings!$C$3-IF($J332&lt;&gt;"",$J332,INT($B332)))</f>
        <v/>
      </c>
      <c r="R332" s="17" t="str">
        <f>IF($A332="","",IF($O332="Closed","Closed",IF($F332="Unassigned","Unassigned",IF(AND($K332&lt;&gt;"",$K332&lt;Settings!$C$3),"Overdue",IF($Q332&gt;=Settings!$C$4,"Inactive","On Track")))))</f>
        <v/>
      </c>
      <c r="S332" s="17" t="str">
        <f t="shared" si="22"/>
        <v/>
      </c>
      <c r="T332" s="36" t="str">
        <f t="shared" si="23"/>
        <v/>
      </c>
      <c r="U332" s="33">
        <f>IF(AND($O332="Open",OR(Dashboard!$D$3="All",$F332=Dashboard!$D$3)),$H332+ROW()/100000,0)</f>
        <v>0</v>
      </c>
    </row>
    <row r="333" spans="1:21" x14ac:dyDescent="0.25">
      <c r="B333" s="37"/>
      <c r="H333" s="38"/>
      <c r="I333" s="37"/>
      <c r="J333" s="39"/>
      <c r="K333" s="39"/>
      <c r="L333" s="39"/>
      <c r="N333" s="17" t="str">
        <f t="shared" si="20"/>
        <v/>
      </c>
      <c r="O333" s="17" t="str">
        <f t="shared" si="21"/>
        <v/>
      </c>
      <c r="P333" s="17" t="str">
        <f>IF($A333="","",IF($L333&lt;&gt;"",$L333,Settings!$C$3)-INT($B333))</f>
        <v/>
      </c>
      <c r="Q333" s="17" t="str">
        <f>IF($O333&lt;&gt;"Open","",Settings!$C$3-IF($J333&lt;&gt;"",$J333,INT($B333)))</f>
        <v/>
      </c>
      <c r="R333" s="17" t="str">
        <f>IF($A333="","",IF($O333="Closed","Closed",IF($F333="Unassigned","Unassigned",IF(AND($K333&lt;&gt;"",$K333&lt;Settings!$C$3),"Overdue",IF($Q333&gt;=Settings!$C$4,"Inactive","On Track")))))</f>
        <v/>
      </c>
      <c r="S333" s="17" t="str">
        <f t="shared" si="22"/>
        <v/>
      </c>
      <c r="T333" s="36" t="str">
        <f t="shared" si="23"/>
        <v/>
      </c>
      <c r="U333" s="33">
        <f>IF(AND($O333="Open",OR(Dashboard!$D$3="All",$F333=Dashboard!$D$3)),$H333+ROW()/100000,0)</f>
        <v>0</v>
      </c>
    </row>
    <row r="334" spans="1:21" x14ac:dyDescent="0.25">
      <c r="B334" s="37"/>
      <c r="H334" s="38"/>
      <c r="I334" s="37"/>
      <c r="J334" s="39"/>
      <c r="K334" s="39"/>
      <c r="L334" s="39"/>
      <c r="N334" s="17" t="str">
        <f t="shared" si="20"/>
        <v/>
      </c>
      <c r="O334" s="17" t="str">
        <f t="shared" si="21"/>
        <v/>
      </c>
      <c r="P334" s="17" t="str">
        <f>IF($A334="","",IF($L334&lt;&gt;"",$L334,Settings!$C$3)-INT($B334))</f>
        <v/>
      </c>
      <c r="Q334" s="17" t="str">
        <f>IF($O334&lt;&gt;"Open","",Settings!$C$3-IF($J334&lt;&gt;"",$J334,INT($B334)))</f>
        <v/>
      </c>
      <c r="R334" s="17" t="str">
        <f>IF($A334="","",IF($O334="Closed","Closed",IF($F334="Unassigned","Unassigned",IF(AND($K334&lt;&gt;"",$K334&lt;Settings!$C$3),"Overdue",IF($Q334&gt;=Settings!$C$4,"Inactive","On Track")))))</f>
        <v/>
      </c>
      <c r="S334" s="17" t="str">
        <f t="shared" si="22"/>
        <v/>
      </c>
      <c r="T334" s="36" t="str">
        <f t="shared" si="23"/>
        <v/>
      </c>
      <c r="U334" s="33">
        <f>IF(AND($O334="Open",OR(Dashboard!$D$3="All",$F334=Dashboard!$D$3)),$H334+ROW()/100000,0)</f>
        <v>0</v>
      </c>
    </row>
    <row r="335" spans="1:21" x14ac:dyDescent="0.25">
      <c r="B335" s="37"/>
      <c r="H335" s="38"/>
      <c r="I335" s="37"/>
      <c r="J335" s="39"/>
      <c r="K335" s="39"/>
      <c r="L335" s="39"/>
      <c r="N335" s="17" t="str">
        <f t="shared" si="20"/>
        <v/>
      </c>
      <c r="O335" s="17" t="str">
        <f t="shared" si="21"/>
        <v/>
      </c>
      <c r="P335" s="17" t="str">
        <f>IF($A335="","",IF($L335&lt;&gt;"",$L335,Settings!$C$3)-INT($B335))</f>
        <v/>
      </c>
      <c r="Q335" s="17" t="str">
        <f>IF($O335&lt;&gt;"Open","",Settings!$C$3-IF($J335&lt;&gt;"",$J335,INT($B335)))</f>
        <v/>
      </c>
      <c r="R335" s="17" t="str">
        <f>IF($A335="","",IF($O335="Closed","Closed",IF($F335="Unassigned","Unassigned",IF(AND($K335&lt;&gt;"",$K335&lt;Settings!$C$3),"Overdue",IF($Q335&gt;=Settings!$C$4,"Inactive","On Track")))))</f>
        <v/>
      </c>
      <c r="S335" s="17" t="str">
        <f t="shared" si="22"/>
        <v/>
      </c>
      <c r="T335" s="36" t="str">
        <f t="shared" si="23"/>
        <v/>
      </c>
      <c r="U335" s="33">
        <f>IF(AND($O335="Open",OR(Dashboard!$D$3="All",$F335=Dashboard!$D$3)),$H335+ROW()/100000,0)</f>
        <v>0</v>
      </c>
    </row>
    <row r="336" spans="1:21" x14ac:dyDescent="0.25">
      <c r="B336" s="37"/>
      <c r="H336" s="38"/>
      <c r="I336" s="37"/>
      <c r="J336" s="39"/>
      <c r="K336" s="39"/>
      <c r="L336" s="39"/>
      <c r="N336" s="17" t="str">
        <f t="shared" si="20"/>
        <v/>
      </c>
      <c r="O336" s="17" t="str">
        <f t="shared" si="21"/>
        <v/>
      </c>
      <c r="P336" s="17" t="str">
        <f>IF($A336="","",IF($L336&lt;&gt;"",$L336,Settings!$C$3)-INT($B336))</f>
        <v/>
      </c>
      <c r="Q336" s="17" t="str">
        <f>IF($O336&lt;&gt;"Open","",Settings!$C$3-IF($J336&lt;&gt;"",$J336,INT($B336)))</f>
        <v/>
      </c>
      <c r="R336" s="17" t="str">
        <f>IF($A336="","",IF($O336="Closed","Closed",IF($F336="Unassigned","Unassigned",IF(AND($K336&lt;&gt;"",$K336&lt;Settings!$C$3),"Overdue",IF($Q336&gt;=Settings!$C$4,"Inactive","On Track")))))</f>
        <v/>
      </c>
      <c r="S336" s="17" t="str">
        <f t="shared" si="22"/>
        <v/>
      </c>
      <c r="T336" s="36" t="str">
        <f t="shared" si="23"/>
        <v/>
      </c>
      <c r="U336" s="33">
        <f>IF(AND($O336="Open",OR(Dashboard!$D$3="All",$F336=Dashboard!$D$3)),$H336+ROW()/100000,0)</f>
        <v>0</v>
      </c>
    </row>
    <row r="337" spans="2:21" x14ac:dyDescent="0.25">
      <c r="B337" s="37"/>
      <c r="H337" s="38"/>
      <c r="I337" s="37"/>
      <c r="J337" s="39"/>
      <c r="K337" s="39"/>
      <c r="L337" s="39"/>
      <c r="N337" s="17" t="str">
        <f t="shared" si="20"/>
        <v/>
      </c>
      <c r="O337" s="17" t="str">
        <f t="shared" si="21"/>
        <v/>
      </c>
      <c r="P337" s="17" t="str">
        <f>IF($A337="","",IF($L337&lt;&gt;"",$L337,Settings!$C$3)-INT($B337))</f>
        <v/>
      </c>
      <c r="Q337" s="17" t="str">
        <f>IF($O337&lt;&gt;"Open","",Settings!$C$3-IF($J337&lt;&gt;"",$J337,INT($B337)))</f>
        <v/>
      </c>
      <c r="R337" s="17" t="str">
        <f>IF($A337="","",IF($O337="Closed","Closed",IF($F337="Unassigned","Unassigned",IF(AND($K337&lt;&gt;"",$K337&lt;Settings!$C$3),"Overdue",IF($Q337&gt;=Settings!$C$4,"Inactive","On Track")))))</f>
        <v/>
      </c>
      <c r="S337" s="17" t="str">
        <f t="shared" si="22"/>
        <v/>
      </c>
      <c r="T337" s="36" t="str">
        <f t="shared" si="23"/>
        <v/>
      </c>
      <c r="U337" s="33">
        <f>IF(AND($O337="Open",OR(Dashboard!$D$3="All",$F337=Dashboard!$D$3)),$H337+ROW()/100000,0)</f>
        <v>0</v>
      </c>
    </row>
    <row r="338" spans="2:21" x14ac:dyDescent="0.25">
      <c r="B338" s="37"/>
      <c r="H338" s="38"/>
      <c r="I338" s="37"/>
      <c r="J338" s="39"/>
      <c r="K338" s="39"/>
      <c r="L338" s="39"/>
      <c r="N338" s="17" t="str">
        <f t="shared" si="20"/>
        <v/>
      </c>
      <c r="O338" s="17" t="str">
        <f t="shared" si="21"/>
        <v/>
      </c>
      <c r="P338" s="17" t="str">
        <f>IF($A338="","",IF($L338&lt;&gt;"",$L338,Settings!$C$3)-INT($B338))</f>
        <v/>
      </c>
      <c r="Q338" s="17" t="str">
        <f>IF($O338&lt;&gt;"Open","",Settings!$C$3-IF($J338&lt;&gt;"",$J338,INT($B338)))</f>
        <v/>
      </c>
      <c r="R338" s="17" t="str">
        <f>IF($A338="","",IF($O338="Closed","Closed",IF($F338="Unassigned","Unassigned",IF(AND($K338&lt;&gt;"",$K338&lt;Settings!$C$3),"Overdue",IF($Q338&gt;=Settings!$C$4,"Inactive","On Track")))))</f>
        <v/>
      </c>
      <c r="S338" s="17" t="str">
        <f t="shared" si="22"/>
        <v/>
      </c>
      <c r="T338" s="36" t="str">
        <f t="shared" si="23"/>
        <v/>
      </c>
      <c r="U338" s="33">
        <f>IF(AND($O338="Open",OR(Dashboard!$D$3="All",$F338=Dashboard!$D$3)),$H338+ROW()/100000,0)</f>
        <v>0</v>
      </c>
    </row>
    <row r="339" spans="2:21" x14ac:dyDescent="0.25">
      <c r="B339" s="37"/>
      <c r="H339" s="38"/>
      <c r="I339" s="37"/>
      <c r="J339" s="39"/>
      <c r="K339" s="39"/>
      <c r="L339" s="39"/>
      <c r="N339" s="17" t="str">
        <f t="shared" si="20"/>
        <v/>
      </c>
      <c r="O339" s="17" t="str">
        <f t="shared" si="21"/>
        <v/>
      </c>
      <c r="P339" s="17" t="str">
        <f>IF($A339="","",IF($L339&lt;&gt;"",$L339,Settings!$C$3)-INT($B339))</f>
        <v/>
      </c>
      <c r="Q339" s="17" t="str">
        <f>IF($O339&lt;&gt;"Open","",Settings!$C$3-IF($J339&lt;&gt;"",$J339,INT($B339)))</f>
        <v/>
      </c>
      <c r="R339" s="17" t="str">
        <f>IF($A339="","",IF($O339="Closed","Closed",IF($F339="Unassigned","Unassigned",IF(AND($K339&lt;&gt;"",$K339&lt;Settings!$C$3),"Overdue",IF($Q339&gt;=Settings!$C$4,"Inactive","On Track")))))</f>
        <v/>
      </c>
      <c r="S339" s="17" t="str">
        <f t="shared" si="22"/>
        <v/>
      </c>
      <c r="T339" s="36" t="str">
        <f t="shared" si="23"/>
        <v/>
      </c>
      <c r="U339" s="33">
        <f>IF(AND($O339="Open",OR(Dashboard!$D$3="All",$F339=Dashboard!$D$3)),$H339+ROW()/100000,0)</f>
        <v>0</v>
      </c>
    </row>
    <row r="340" spans="2:21" x14ac:dyDescent="0.25">
      <c r="B340" s="37"/>
      <c r="H340" s="38"/>
      <c r="I340" s="37"/>
      <c r="J340" s="39"/>
      <c r="K340" s="39"/>
      <c r="L340" s="39"/>
      <c r="N340" s="17" t="str">
        <f t="shared" si="20"/>
        <v/>
      </c>
      <c r="O340" s="17" t="str">
        <f t="shared" si="21"/>
        <v/>
      </c>
      <c r="P340" s="17" t="str">
        <f>IF($A340="","",IF($L340&lt;&gt;"",$L340,Settings!$C$3)-INT($B340))</f>
        <v/>
      </c>
      <c r="Q340" s="17" t="str">
        <f>IF($O340&lt;&gt;"Open","",Settings!$C$3-IF($J340&lt;&gt;"",$J340,INT($B340)))</f>
        <v/>
      </c>
      <c r="R340" s="17" t="str">
        <f>IF($A340="","",IF($O340="Closed","Closed",IF($F340="Unassigned","Unassigned",IF(AND($K340&lt;&gt;"",$K340&lt;Settings!$C$3),"Overdue",IF($Q340&gt;=Settings!$C$4,"Inactive","On Track")))))</f>
        <v/>
      </c>
      <c r="S340" s="17" t="str">
        <f t="shared" si="22"/>
        <v/>
      </c>
      <c r="T340" s="36" t="str">
        <f t="shared" si="23"/>
        <v/>
      </c>
      <c r="U340" s="33">
        <f>IF(AND($O340="Open",OR(Dashboard!$D$3="All",$F340=Dashboard!$D$3)),$H340+ROW()/100000,0)</f>
        <v>0</v>
      </c>
    </row>
    <row r="341" spans="2:21" x14ac:dyDescent="0.25">
      <c r="B341" s="37"/>
      <c r="H341" s="38"/>
      <c r="I341" s="37"/>
      <c r="J341" s="39"/>
      <c r="K341" s="39"/>
      <c r="L341" s="39"/>
      <c r="N341" s="17" t="str">
        <f t="shared" si="20"/>
        <v/>
      </c>
      <c r="O341" s="17" t="str">
        <f t="shared" si="21"/>
        <v/>
      </c>
      <c r="P341" s="17" t="str">
        <f>IF($A341="","",IF($L341&lt;&gt;"",$L341,Settings!$C$3)-INT($B341))</f>
        <v/>
      </c>
      <c r="Q341" s="17" t="str">
        <f>IF($O341&lt;&gt;"Open","",Settings!$C$3-IF($J341&lt;&gt;"",$J341,INT($B341)))</f>
        <v/>
      </c>
      <c r="R341" s="17" t="str">
        <f>IF($A341="","",IF($O341="Closed","Closed",IF($F341="Unassigned","Unassigned",IF(AND($K341&lt;&gt;"",$K341&lt;Settings!$C$3),"Overdue",IF($Q341&gt;=Settings!$C$4,"Inactive","On Track")))))</f>
        <v/>
      </c>
      <c r="S341" s="17" t="str">
        <f t="shared" si="22"/>
        <v/>
      </c>
      <c r="T341" s="36" t="str">
        <f t="shared" si="23"/>
        <v/>
      </c>
      <c r="U341" s="33">
        <f>IF(AND($O341="Open",OR(Dashboard!$D$3="All",$F341=Dashboard!$D$3)),$H341+ROW()/100000,0)</f>
        <v>0</v>
      </c>
    </row>
    <row r="342" spans="2:21" x14ac:dyDescent="0.25">
      <c r="B342" s="37"/>
      <c r="H342" s="38"/>
      <c r="I342" s="37"/>
      <c r="J342" s="39"/>
      <c r="K342" s="39"/>
      <c r="L342" s="39"/>
      <c r="N342" s="17" t="str">
        <f t="shared" si="20"/>
        <v/>
      </c>
      <c r="O342" s="17" t="str">
        <f t="shared" si="21"/>
        <v/>
      </c>
      <c r="P342" s="17" t="str">
        <f>IF($A342="","",IF($L342&lt;&gt;"",$L342,Settings!$C$3)-INT($B342))</f>
        <v/>
      </c>
      <c r="Q342" s="17" t="str">
        <f>IF($O342&lt;&gt;"Open","",Settings!$C$3-IF($J342&lt;&gt;"",$J342,INT($B342)))</f>
        <v/>
      </c>
      <c r="R342" s="17" t="str">
        <f>IF($A342="","",IF($O342="Closed","Closed",IF($F342="Unassigned","Unassigned",IF(AND($K342&lt;&gt;"",$K342&lt;Settings!$C$3),"Overdue",IF($Q342&gt;=Settings!$C$4,"Inactive","On Track")))))</f>
        <v/>
      </c>
      <c r="S342" s="17" t="str">
        <f t="shared" si="22"/>
        <v/>
      </c>
      <c r="T342" s="36" t="str">
        <f t="shared" si="23"/>
        <v/>
      </c>
      <c r="U342" s="33">
        <f>IF(AND($O342="Open",OR(Dashboard!$D$3="All",$F342=Dashboard!$D$3)),$H342+ROW()/100000,0)</f>
        <v>0</v>
      </c>
    </row>
    <row r="343" spans="2:21" x14ac:dyDescent="0.25">
      <c r="B343" s="37"/>
      <c r="H343" s="38"/>
      <c r="I343" s="37"/>
      <c r="J343" s="39"/>
      <c r="K343" s="39"/>
      <c r="L343" s="39"/>
      <c r="N343" s="17" t="str">
        <f t="shared" si="20"/>
        <v/>
      </c>
      <c r="O343" s="17" t="str">
        <f t="shared" si="21"/>
        <v/>
      </c>
      <c r="P343" s="17" t="str">
        <f>IF($A343="","",IF($L343&lt;&gt;"",$L343,Settings!$C$3)-INT($B343))</f>
        <v/>
      </c>
      <c r="Q343" s="17" t="str">
        <f>IF($O343&lt;&gt;"Open","",Settings!$C$3-IF($J343&lt;&gt;"",$J343,INT($B343)))</f>
        <v/>
      </c>
      <c r="R343" s="17" t="str">
        <f>IF($A343="","",IF($O343="Closed","Closed",IF($F343="Unassigned","Unassigned",IF(AND($K343&lt;&gt;"",$K343&lt;Settings!$C$3),"Overdue",IF($Q343&gt;=Settings!$C$4,"Inactive","On Track")))))</f>
        <v/>
      </c>
      <c r="S343" s="17" t="str">
        <f t="shared" si="22"/>
        <v/>
      </c>
      <c r="T343" s="36" t="str">
        <f t="shared" si="23"/>
        <v/>
      </c>
      <c r="U343" s="33">
        <f>IF(AND($O343="Open",OR(Dashboard!$D$3="All",$F343=Dashboard!$D$3)),$H343+ROW()/100000,0)</f>
        <v>0</v>
      </c>
    </row>
    <row r="344" spans="2:21" x14ac:dyDescent="0.25">
      <c r="B344" s="37"/>
      <c r="H344" s="38"/>
      <c r="I344" s="37"/>
      <c r="J344" s="39"/>
      <c r="K344" s="39"/>
      <c r="L344" s="39"/>
      <c r="N344" s="17" t="str">
        <f t="shared" si="20"/>
        <v/>
      </c>
      <c r="O344" s="17" t="str">
        <f t="shared" si="21"/>
        <v/>
      </c>
      <c r="P344" s="17" t="str">
        <f>IF($A344="","",IF($L344&lt;&gt;"",$L344,Settings!$C$3)-INT($B344))</f>
        <v/>
      </c>
      <c r="Q344" s="17" t="str">
        <f>IF($O344&lt;&gt;"Open","",Settings!$C$3-IF($J344&lt;&gt;"",$J344,INT($B344)))</f>
        <v/>
      </c>
      <c r="R344" s="17" t="str">
        <f>IF($A344="","",IF($O344="Closed","Closed",IF($F344="Unassigned","Unassigned",IF(AND($K344&lt;&gt;"",$K344&lt;Settings!$C$3),"Overdue",IF($Q344&gt;=Settings!$C$4,"Inactive","On Track")))))</f>
        <v/>
      </c>
      <c r="S344" s="17" t="str">
        <f t="shared" si="22"/>
        <v/>
      </c>
      <c r="T344" s="36" t="str">
        <f t="shared" si="23"/>
        <v/>
      </c>
      <c r="U344" s="33">
        <f>IF(AND($O344="Open",OR(Dashboard!$D$3="All",$F344=Dashboard!$D$3)),$H344+ROW()/100000,0)</f>
        <v>0</v>
      </c>
    </row>
    <row r="345" spans="2:21" x14ac:dyDescent="0.25">
      <c r="B345" s="37"/>
      <c r="H345" s="38"/>
      <c r="I345" s="37"/>
      <c r="J345" s="39"/>
      <c r="K345" s="39"/>
      <c r="L345" s="39"/>
      <c r="N345" s="17" t="str">
        <f t="shared" si="20"/>
        <v/>
      </c>
      <c r="O345" s="17" t="str">
        <f t="shared" si="21"/>
        <v/>
      </c>
      <c r="P345" s="17" t="str">
        <f>IF($A345="","",IF($L345&lt;&gt;"",$L345,Settings!$C$3)-INT($B345))</f>
        <v/>
      </c>
      <c r="Q345" s="17" t="str">
        <f>IF($O345&lt;&gt;"Open","",Settings!$C$3-IF($J345&lt;&gt;"",$J345,INT($B345)))</f>
        <v/>
      </c>
      <c r="R345" s="17" t="str">
        <f>IF($A345="","",IF($O345="Closed","Closed",IF($F345="Unassigned","Unassigned",IF(AND($K345&lt;&gt;"",$K345&lt;Settings!$C$3),"Overdue",IF($Q345&gt;=Settings!$C$4,"Inactive","On Track")))))</f>
        <v/>
      </c>
      <c r="S345" s="17" t="str">
        <f t="shared" si="22"/>
        <v/>
      </c>
      <c r="T345" s="36" t="str">
        <f t="shared" si="23"/>
        <v/>
      </c>
      <c r="U345" s="33">
        <f>IF(AND($O345="Open",OR(Dashboard!$D$3="All",$F345=Dashboard!$D$3)),$H345+ROW()/100000,0)</f>
        <v>0</v>
      </c>
    </row>
    <row r="346" spans="2:21" x14ac:dyDescent="0.25">
      <c r="B346" s="37"/>
      <c r="H346" s="38"/>
      <c r="I346" s="37"/>
      <c r="J346" s="39"/>
      <c r="K346" s="39"/>
      <c r="L346" s="39"/>
      <c r="N346" s="17" t="str">
        <f t="shared" si="20"/>
        <v/>
      </c>
      <c r="O346" s="17" t="str">
        <f t="shared" si="21"/>
        <v/>
      </c>
      <c r="P346" s="17" t="str">
        <f>IF($A346="","",IF($L346&lt;&gt;"",$L346,Settings!$C$3)-INT($B346))</f>
        <v/>
      </c>
      <c r="Q346" s="17" t="str">
        <f>IF($O346&lt;&gt;"Open","",Settings!$C$3-IF($J346&lt;&gt;"",$J346,INT($B346)))</f>
        <v/>
      </c>
      <c r="R346" s="17" t="str">
        <f>IF($A346="","",IF($O346="Closed","Closed",IF($F346="Unassigned","Unassigned",IF(AND($K346&lt;&gt;"",$K346&lt;Settings!$C$3),"Overdue",IF($Q346&gt;=Settings!$C$4,"Inactive","On Track")))))</f>
        <v/>
      </c>
      <c r="S346" s="17" t="str">
        <f t="shared" si="22"/>
        <v/>
      </c>
      <c r="T346" s="36" t="str">
        <f t="shared" si="23"/>
        <v/>
      </c>
      <c r="U346" s="33">
        <f>IF(AND($O346="Open",OR(Dashboard!$D$3="All",$F346=Dashboard!$D$3)),$H346+ROW()/100000,0)</f>
        <v>0</v>
      </c>
    </row>
    <row r="347" spans="2:21" x14ac:dyDescent="0.25">
      <c r="B347" s="37"/>
      <c r="H347" s="38"/>
      <c r="I347" s="37"/>
      <c r="J347" s="39"/>
      <c r="K347" s="39"/>
      <c r="L347" s="39"/>
      <c r="N347" s="17" t="str">
        <f t="shared" si="20"/>
        <v/>
      </c>
      <c r="O347" s="17" t="str">
        <f t="shared" si="21"/>
        <v/>
      </c>
      <c r="P347" s="17" t="str">
        <f>IF($A347="","",IF($L347&lt;&gt;"",$L347,Settings!$C$3)-INT($B347))</f>
        <v/>
      </c>
      <c r="Q347" s="17" t="str">
        <f>IF($O347&lt;&gt;"Open","",Settings!$C$3-IF($J347&lt;&gt;"",$J347,INT($B347)))</f>
        <v/>
      </c>
      <c r="R347" s="17" t="str">
        <f>IF($A347="","",IF($O347="Closed","Closed",IF($F347="Unassigned","Unassigned",IF(AND($K347&lt;&gt;"",$K347&lt;Settings!$C$3),"Overdue",IF($Q347&gt;=Settings!$C$4,"Inactive","On Track")))))</f>
        <v/>
      </c>
      <c r="S347" s="17" t="str">
        <f t="shared" si="22"/>
        <v/>
      </c>
      <c r="T347" s="36" t="str">
        <f t="shared" si="23"/>
        <v/>
      </c>
      <c r="U347" s="33">
        <f>IF(AND($O347="Open",OR(Dashboard!$D$3="All",$F347=Dashboard!$D$3)),$H347+ROW()/100000,0)</f>
        <v>0</v>
      </c>
    </row>
    <row r="348" spans="2:21" x14ac:dyDescent="0.25">
      <c r="B348" s="37"/>
      <c r="H348" s="38"/>
      <c r="I348" s="37"/>
      <c r="J348" s="39"/>
      <c r="K348" s="39"/>
      <c r="L348" s="39"/>
      <c r="N348" s="17" t="str">
        <f t="shared" si="20"/>
        <v/>
      </c>
      <c r="O348" s="17" t="str">
        <f t="shared" si="21"/>
        <v/>
      </c>
      <c r="P348" s="17" t="str">
        <f>IF($A348="","",IF($L348&lt;&gt;"",$L348,Settings!$C$3)-INT($B348))</f>
        <v/>
      </c>
      <c r="Q348" s="17" t="str">
        <f>IF($O348&lt;&gt;"Open","",Settings!$C$3-IF($J348&lt;&gt;"",$J348,INT($B348)))</f>
        <v/>
      </c>
      <c r="R348" s="17" t="str">
        <f>IF($A348="","",IF($O348="Closed","Closed",IF($F348="Unassigned","Unassigned",IF(AND($K348&lt;&gt;"",$K348&lt;Settings!$C$3),"Overdue",IF($Q348&gt;=Settings!$C$4,"Inactive","On Track")))))</f>
        <v/>
      </c>
      <c r="S348" s="17" t="str">
        <f t="shared" si="22"/>
        <v/>
      </c>
      <c r="T348" s="36" t="str">
        <f t="shared" si="23"/>
        <v/>
      </c>
      <c r="U348" s="33">
        <f>IF(AND($O348="Open",OR(Dashboard!$D$3="All",$F348=Dashboard!$D$3)),$H348+ROW()/100000,0)</f>
        <v>0</v>
      </c>
    </row>
    <row r="349" spans="2:21" x14ac:dyDescent="0.25">
      <c r="B349" s="37"/>
      <c r="H349" s="38"/>
      <c r="I349" s="37"/>
      <c r="J349" s="39"/>
      <c r="K349" s="39"/>
      <c r="L349" s="39"/>
      <c r="N349" s="17" t="str">
        <f t="shared" si="20"/>
        <v/>
      </c>
      <c r="O349" s="17" t="str">
        <f t="shared" si="21"/>
        <v/>
      </c>
      <c r="P349" s="17" t="str">
        <f>IF($A349="","",IF($L349&lt;&gt;"",$L349,Settings!$C$3)-INT($B349))</f>
        <v/>
      </c>
      <c r="Q349" s="17" t="str">
        <f>IF($O349&lt;&gt;"Open","",Settings!$C$3-IF($J349&lt;&gt;"",$J349,INT($B349)))</f>
        <v/>
      </c>
      <c r="R349" s="17" t="str">
        <f>IF($A349="","",IF($O349="Closed","Closed",IF($F349="Unassigned","Unassigned",IF(AND($K349&lt;&gt;"",$K349&lt;Settings!$C$3),"Overdue",IF($Q349&gt;=Settings!$C$4,"Inactive","On Track")))))</f>
        <v/>
      </c>
      <c r="S349" s="17" t="str">
        <f t="shared" si="22"/>
        <v/>
      </c>
      <c r="T349" s="36" t="str">
        <f t="shared" si="23"/>
        <v/>
      </c>
      <c r="U349" s="33">
        <f>IF(AND($O349="Open",OR(Dashboard!$D$3="All",$F349=Dashboard!$D$3)),$H349+ROW()/100000,0)</f>
        <v>0</v>
      </c>
    </row>
    <row r="350" spans="2:21" x14ac:dyDescent="0.25">
      <c r="B350" s="37"/>
      <c r="H350" s="38"/>
      <c r="I350" s="37"/>
      <c r="J350" s="39"/>
      <c r="K350" s="39"/>
      <c r="L350" s="39"/>
      <c r="N350" s="17" t="str">
        <f t="shared" si="20"/>
        <v/>
      </c>
      <c r="O350" s="17" t="str">
        <f t="shared" si="21"/>
        <v/>
      </c>
      <c r="P350" s="17" t="str">
        <f>IF($A350="","",IF($L350&lt;&gt;"",$L350,Settings!$C$3)-INT($B350))</f>
        <v/>
      </c>
      <c r="Q350" s="17" t="str">
        <f>IF($O350&lt;&gt;"Open","",Settings!$C$3-IF($J350&lt;&gt;"",$J350,INT($B350)))</f>
        <v/>
      </c>
      <c r="R350" s="17" t="str">
        <f>IF($A350="","",IF($O350="Closed","Closed",IF($F350="Unassigned","Unassigned",IF(AND($K350&lt;&gt;"",$K350&lt;Settings!$C$3),"Overdue",IF($Q350&gt;=Settings!$C$4,"Inactive","On Track")))))</f>
        <v/>
      </c>
      <c r="S350" s="17" t="str">
        <f t="shared" si="22"/>
        <v/>
      </c>
      <c r="T350" s="36" t="str">
        <f t="shared" si="23"/>
        <v/>
      </c>
      <c r="U350" s="33">
        <f>IF(AND($O350="Open",OR(Dashboard!$D$3="All",$F350=Dashboard!$D$3)),$H350+ROW()/100000,0)</f>
        <v>0</v>
      </c>
    </row>
    <row r="351" spans="2:21" x14ac:dyDescent="0.25">
      <c r="B351" s="37"/>
      <c r="H351" s="38"/>
      <c r="I351" s="37"/>
      <c r="J351" s="39"/>
      <c r="K351" s="39"/>
      <c r="L351" s="39"/>
      <c r="N351" s="17" t="str">
        <f t="shared" si="20"/>
        <v/>
      </c>
      <c r="O351" s="17" t="str">
        <f t="shared" si="21"/>
        <v/>
      </c>
      <c r="P351" s="17" t="str">
        <f>IF($A351="","",IF($L351&lt;&gt;"",$L351,Settings!$C$3)-INT($B351))</f>
        <v/>
      </c>
      <c r="Q351" s="17" t="str">
        <f>IF($O351&lt;&gt;"Open","",Settings!$C$3-IF($J351&lt;&gt;"",$J351,INT($B351)))</f>
        <v/>
      </c>
      <c r="R351" s="17" t="str">
        <f>IF($A351="","",IF($O351="Closed","Closed",IF($F351="Unassigned","Unassigned",IF(AND($K351&lt;&gt;"",$K351&lt;Settings!$C$3),"Overdue",IF($Q351&gt;=Settings!$C$4,"Inactive","On Track")))))</f>
        <v/>
      </c>
      <c r="S351" s="17" t="str">
        <f t="shared" si="22"/>
        <v/>
      </c>
      <c r="T351" s="36" t="str">
        <f t="shared" si="23"/>
        <v/>
      </c>
      <c r="U351" s="33">
        <f>IF(AND($O351="Open",OR(Dashboard!$D$3="All",$F351=Dashboard!$D$3)),$H351+ROW()/100000,0)</f>
        <v>0</v>
      </c>
    </row>
    <row r="352" spans="2:21" x14ac:dyDescent="0.25">
      <c r="B352" s="37"/>
      <c r="H352" s="38"/>
      <c r="I352" s="37"/>
      <c r="J352" s="39"/>
      <c r="K352" s="39"/>
      <c r="L352" s="39"/>
      <c r="N352" s="17" t="str">
        <f t="shared" si="20"/>
        <v/>
      </c>
      <c r="O352" s="17" t="str">
        <f t="shared" si="21"/>
        <v/>
      </c>
      <c r="P352" s="17" t="str">
        <f>IF($A352="","",IF($L352&lt;&gt;"",$L352,Settings!$C$3)-INT($B352))</f>
        <v/>
      </c>
      <c r="Q352" s="17" t="str">
        <f>IF($O352&lt;&gt;"Open","",Settings!$C$3-IF($J352&lt;&gt;"",$J352,INT($B352)))</f>
        <v/>
      </c>
      <c r="R352" s="17" t="str">
        <f>IF($A352="","",IF($O352="Closed","Closed",IF($F352="Unassigned","Unassigned",IF(AND($K352&lt;&gt;"",$K352&lt;Settings!$C$3),"Overdue",IF($Q352&gt;=Settings!$C$4,"Inactive","On Track")))))</f>
        <v/>
      </c>
      <c r="S352" s="17" t="str">
        <f t="shared" si="22"/>
        <v/>
      </c>
      <c r="T352" s="36" t="str">
        <f t="shared" si="23"/>
        <v/>
      </c>
      <c r="U352" s="33">
        <f>IF(AND($O352="Open",OR(Dashboard!$D$3="All",$F352=Dashboard!$D$3)),$H352+ROW()/100000,0)</f>
        <v>0</v>
      </c>
    </row>
    <row r="353" spans="2:21" x14ac:dyDescent="0.25">
      <c r="B353" s="37"/>
      <c r="H353" s="38"/>
      <c r="I353" s="37"/>
      <c r="J353" s="39"/>
      <c r="K353" s="39"/>
      <c r="L353" s="39"/>
      <c r="N353" s="17" t="str">
        <f t="shared" si="20"/>
        <v/>
      </c>
      <c r="O353" s="17" t="str">
        <f t="shared" si="21"/>
        <v/>
      </c>
      <c r="P353" s="17" t="str">
        <f>IF($A353="","",IF($L353&lt;&gt;"",$L353,Settings!$C$3)-INT($B353))</f>
        <v/>
      </c>
      <c r="Q353" s="17" t="str">
        <f>IF($O353&lt;&gt;"Open","",Settings!$C$3-IF($J353&lt;&gt;"",$J353,INT($B353)))</f>
        <v/>
      </c>
      <c r="R353" s="17" t="str">
        <f>IF($A353="","",IF($O353="Closed","Closed",IF($F353="Unassigned","Unassigned",IF(AND($K353&lt;&gt;"",$K353&lt;Settings!$C$3),"Overdue",IF($Q353&gt;=Settings!$C$4,"Inactive","On Track")))))</f>
        <v/>
      </c>
      <c r="S353" s="17" t="str">
        <f t="shared" si="22"/>
        <v/>
      </c>
      <c r="T353" s="36" t="str">
        <f t="shared" si="23"/>
        <v/>
      </c>
      <c r="U353" s="33">
        <f>IF(AND($O353="Open",OR(Dashboard!$D$3="All",$F353=Dashboard!$D$3)),$H353+ROW()/100000,0)</f>
        <v>0</v>
      </c>
    </row>
    <row r="354" spans="2:21" x14ac:dyDescent="0.25">
      <c r="B354" s="37"/>
      <c r="H354" s="38"/>
      <c r="I354" s="37"/>
      <c r="J354" s="39"/>
      <c r="K354" s="39"/>
      <c r="L354" s="39"/>
      <c r="N354" s="17" t="str">
        <f t="shared" si="20"/>
        <v/>
      </c>
      <c r="O354" s="17" t="str">
        <f t="shared" si="21"/>
        <v/>
      </c>
      <c r="P354" s="17" t="str">
        <f>IF($A354="","",IF($L354&lt;&gt;"",$L354,Settings!$C$3)-INT($B354))</f>
        <v/>
      </c>
      <c r="Q354" s="17" t="str">
        <f>IF($O354&lt;&gt;"Open","",Settings!$C$3-IF($J354&lt;&gt;"",$J354,INT($B354)))</f>
        <v/>
      </c>
      <c r="R354" s="17" t="str">
        <f>IF($A354="","",IF($O354="Closed","Closed",IF($F354="Unassigned","Unassigned",IF(AND($K354&lt;&gt;"",$K354&lt;Settings!$C$3),"Overdue",IF($Q354&gt;=Settings!$C$4,"Inactive","On Track")))))</f>
        <v/>
      </c>
      <c r="S354" s="17" t="str">
        <f t="shared" si="22"/>
        <v/>
      </c>
      <c r="T354" s="36" t="str">
        <f t="shared" si="23"/>
        <v/>
      </c>
      <c r="U354" s="33">
        <f>IF(AND($O354="Open",OR(Dashboard!$D$3="All",$F354=Dashboard!$D$3)),$H354+ROW()/100000,0)</f>
        <v>0</v>
      </c>
    </row>
    <row r="355" spans="2:21" x14ac:dyDescent="0.25">
      <c r="B355" s="37"/>
      <c r="H355" s="38"/>
      <c r="I355" s="37"/>
      <c r="J355" s="39"/>
      <c r="K355" s="39"/>
      <c r="L355" s="39"/>
      <c r="N355" s="17" t="str">
        <f t="shared" si="20"/>
        <v/>
      </c>
      <c r="O355" s="17" t="str">
        <f t="shared" si="21"/>
        <v/>
      </c>
      <c r="P355" s="17" t="str">
        <f>IF($A355="","",IF($L355&lt;&gt;"",$L355,Settings!$C$3)-INT($B355))</f>
        <v/>
      </c>
      <c r="Q355" s="17" t="str">
        <f>IF($O355&lt;&gt;"Open","",Settings!$C$3-IF($J355&lt;&gt;"",$J355,INT($B355)))</f>
        <v/>
      </c>
      <c r="R355" s="17" t="str">
        <f>IF($A355="","",IF($O355="Closed","Closed",IF($F355="Unassigned","Unassigned",IF(AND($K355&lt;&gt;"",$K355&lt;Settings!$C$3),"Overdue",IF($Q355&gt;=Settings!$C$4,"Inactive","On Track")))))</f>
        <v/>
      </c>
      <c r="S355" s="17" t="str">
        <f t="shared" si="22"/>
        <v/>
      </c>
      <c r="T355" s="36" t="str">
        <f t="shared" si="23"/>
        <v/>
      </c>
      <c r="U355" s="33">
        <f>IF(AND($O355="Open",OR(Dashboard!$D$3="All",$F355=Dashboard!$D$3)),$H355+ROW()/100000,0)</f>
        <v>0</v>
      </c>
    </row>
    <row r="356" spans="2:21" x14ac:dyDescent="0.25">
      <c r="B356" s="37"/>
      <c r="H356" s="38"/>
      <c r="I356" s="37"/>
      <c r="J356" s="39"/>
      <c r="K356" s="39"/>
      <c r="L356" s="39"/>
      <c r="N356" s="17" t="str">
        <f t="shared" si="20"/>
        <v/>
      </c>
      <c r="O356" s="17" t="str">
        <f t="shared" si="21"/>
        <v/>
      </c>
      <c r="P356" s="17" t="str">
        <f>IF($A356="","",IF($L356&lt;&gt;"",$L356,Settings!$C$3)-INT($B356))</f>
        <v/>
      </c>
      <c r="Q356" s="17" t="str">
        <f>IF($O356&lt;&gt;"Open","",Settings!$C$3-IF($J356&lt;&gt;"",$J356,INT($B356)))</f>
        <v/>
      </c>
      <c r="R356" s="17" t="str">
        <f>IF($A356="","",IF($O356="Closed","Closed",IF($F356="Unassigned","Unassigned",IF(AND($K356&lt;&gt;"",$K356&lt;Settings!$C$3),"Overdue",IF($Q356&gt;=Settings!$C$4,"Inactive","On Track")))))</f>
        <v/>
      </c>
      <c r="S356" s="17" t="str">
        <f t="shared" si="22"/>
        <v/>
      </c>
      <c r="T356" s="36" t="str">
        <f t="shared" si="23"/>
        <v/>
      </c>
      <c r="U356" s="33">
        <f>IF(AND($O356="Open",OR(Dashboard!$D$3="All",$F356=Dashboard!$D$3)),$H356+ROW()/100000,0)</f>
        <v>0</v>
      </c>
    </row>
    <row r="357" spans="2:21" x14ac:dyDescent="0.25">
      <c r="B357" s="37"/>
      <c r="H357" s="38"/>
      <c r="I357" s="37"/>
      <c r="J357" s="39"/>
      <c r="K357" s="39"/>
      <c r="L357" s="39"/>
      <c r="N357" s="17" t="str">
        <f t="shared" si="20"/>
        <v/>
      </c>
      <c r="O357" s="17" t="str">
        <f t="shared" si="21"/>
        <v/>
      </c>
      <c r="P357" s="17" t="str">
        <f>IF($A357="","",IF($L357&lt;&gt;"",$L357,Settings!$C$3)-INT($B357))</f>
        <v/>
      </c>
      <c r="Q357" s="17" t="str">
        <f>IF($O357&lt;&gt;"Open","",Settings!$C$3-IF($J357&lt;&gt;"",$J357,INT($B357)))</f>
        <v/>
      </c>
      <c r="R357" s="17" t="str">
        <f>IF($A357="","",IF($O357="Closed","Closed",IF($F357="Unassigned","Unassigned",IF(AND($K357&lt;&gt;"",$K357&lt;Settings!$C$3),"Overdue",IF($Q357&gt;=Settings!$C$4,"Inactive","On Track")))))</f>
        <v/>
      </c>
      <c r="S357" s="17" t="str">
        <f t="shared" si="22"/>
        <v/>
      </c>
      <c r="T357" s="36" t="str">
        <f t="shared" si="23"/>
        <v/>
      </c>
      <c r="U357" s="33">
        <f>IF(AND($O357="Open",OR(Dashboard!$D$3="All",$F357=Dashboard!$D$3)),$H357+ROW()/100000,0)</f>
        <v>0</v>
      </c>
    </row>
    <row r="358" spans="2:21" x14ac:dyDescent="0.25">
      <c r="B358" s="37"/>
      <c r="H358" s="38"/>
      <c r="I358" s="37"/>
      <c r="J358" s="39"/>
      <c r="K358" s="39"/>
      <c r="L358" s="39"/>
      <c r="N358" s="17" t="str">
        <f t="shared" si="20"/>
        <v/>
      </c>
      <c r="O358" s="17" t="str">
        <f t="shared" si="21"/>
        <v/>
      </c>
      <c r="P358" s="17" t="str">
        <f>IF($A358="","",IF($L358&lt;&gt;"",$L358,Settings!$C$3)-INT($B358))</f>
        <v/>
      </c>
      <c r="Q358" s="17" t="str">
        <f>IF($O358&lt;&gt;"Open","",Settings!$C$3-IF($J358&lt;&gt;"",$J358,INT($B358)))</f>
        <v/>
      </c>
      <c r="R358" s="17" t="str">
        <f>IF($A358="","",IF($O358="Closed","Closed",IF($F358="Unassigned","Unassigned",IF(AND($K358&lt;&gt;"",$K358&lt;Settings!$C$3),"Overdue",IF($Q358&gt;=Settings!$C$4,"Inactive","On Track")))))</f>
        <v/>
      </c>
      <c r="S358" s="17" t="str">
        <f t="shared" si="22"/>
        <v/>
      </c>
      <c r="T358" s="36" t="str">
        <f t="shared" si="23"/>
        <v/>
      </c>
      <c r="U358" s="33">
        <f>IF(AND($O358="Open",OR(Dashboard!$D$3="All",$F358=Dashboard!$D$3)),$H358+ROW()/100000,0)</f>
        <v>0</v>
      </c>
    </row>
    <row r="359" spans="2:21" x14ac:dyDescent="0.25">
      <c r="B359" s="37"/>
      <c r="H359" s="38"/>
      <c r="I359" s="37"/>
      <c r="J359" s="39"/>
      <c r="K359" s="39"/>
      <c r="L359" s="39"/>
      <c r="N359" s="17" t="str">
        <f t="shared" si="20"/>
        <v/>
      </c>
      <c r="O359" s="17" t="str">
        <f t="shared" si="21"/>
        <v/>
      </c>
      <c r="P359" s="17" t="str">
        <f>IF($A359="","",IF($L359&lt;&gt;"",$L359,Settings!$C$3)-INT($B359))</f>
        <v/>
      </c>
      <c r="Q359" s="17" t="str">
        <f>IF($O359&lt;&gt;"Open","",Settings!$C$3-IF($J359&lt;&gt;"",$J359,INT($B359)))</f>
        <v/>
      </c>
      <c r="R359" s="17" t="str">
        <f>IF($A359="","",IF($O359="Closed","Closed",IF($F359="Unassigned","Unassigned",IF(AND($K359&lt;&gt;"",$K359&lt;Settings!$C$3),"Overdue",IF($Q359&gt;=Settings!$C$4,"Inactive","On Track")))))</f>
        <v/>
      </c>
      <c r="S359" s="17" t="str">
        <f t="shared" si="22"/>
        <v/>
      </c>
      <c r="T359" s="36" t="str">
        <f t="shared" si="23"/>
        <v/>
      </c>
      <c r="U359" s="33">
        <f>IF(AND($O359="Open",OR(Dashboard!$D$3="All",$F359=Dashboard!$D$3)),$H359+ROW()/100000,0)</f>
        <v>0</v>
      </c>
    </row>
    <row r="360" spans="2:21" x14ac:dyDescent="0.25">
      <c r="B360" s="37"/>
      <c r="H360" s="38"/>
      <c r="I360" s="37"/>
      <c r="J360" s="39"/>
      <c r="K360" s="39"/>
      <c r="L360" s="39"/>
      <c r="N360" s="17" t="str">
        <f t="shared" si="20"/>
        <v/>
      </c>
      <c r="O360" s="17" t="str">
        <f t="shared" si="21"/>
        <v/>
      </c>
      <c r="P360" s="17" t="str">
        <f>IF($A360="","",IF($L360&lt;&gt;"",$L360,Settings!$C$3)-INT($B360))</f>
        <v/>
      </c>
      <c r="Q360" s="17" t="str">
        <f>IF($O360&lt;&gt;"Open","",Settings!$C$3-IF($J360&lt;&gt;"",$J360,INT($B360)))</f>
        <v/>
      </c>
      <c r="R360" s="17" t="str">
        <f>IF($A360="","",IF($O360="Closed","Closed",IF($F360="Unassigned","Unassigned",IF(AND($K360&lt;&gt;"",$K360&lt;Settings!$C$3),"Overdue",IF($Q360&gt;=Settings!$C$4,"Inactive","On Track")))))</f>
        <v/>
      </c>
      <c r="S360" s="17" t="str">
        <f t="shared" si="22"/>
        <v/>
      </c>
      <c r="T360" s="36" t="str">
        <f t="shared" si="23"/>
        <v/>
      </c>
      <c r="U360" s="33">
        <f>IF(AND($O360="Open",OR(Dashboard!$D$3="All",$F360=Dashboard!$D$3)),$H360+ROW()/100000,0)</f>
        <v>0</v>
      </c>
    </row>
    <row r="361" spans="2:21" x14ac:dyDescent="0.25">
      <c r="B361" s="37"/>
      <c r="H361" s="38"/>
      <c r="I361" s="37"/>
      <c r="J361" s="39"/>
      <c r="K361" s="39"/>
      <c r="L361" s="39"/>
      <c r="N361" s="17" t="str">
        <f t="shared" si="20"/>
        <v/>
      </c>
      <c r="O361" s="17" t="str">
        <f t="shared" si="21"/>
        <v/>
      </c>
      <c r="P361" s="17" t="str">
        <f>IF($A361="","",IF($L361&lt;&gt;"",$L361,Settings!$C$3)-INT($B361))</f>
        <v/>
      </c>
      <c r="Q361" s="17" t="str">
        <f>IF($O361&lt;&gt;"Open","",Settings!$C$3-IF($J361&lt;&gt;"",$J361,INT($B361)))</f>
        <v/>
      </c>
      <c r="R361" s="17" t="str">
        <f>IF($A361="","",IF($O361="Closed","Closed",IF($F361="Unassigned","Unassigned",IF(AND($K361&lt;&gt;"",$K361&lt;Settings!$C$3),"Overdue",IF($Q361&gt;=Settings!$C$4,"Inactive","On Track")))))</f>
        <v/>
      </c>
      <c r="S361" s="17" t="str">
        <f t="shared" si="22"/>
        <v/>
      </c>
      <c r="T361" s="36" t="str">
        <f t="shared" si="23"/>
        <v/>
      </c>
      <c r="U361" s="33">
        <f>IF(AND($O361="Open",OR(Dashboard!$D$3="All",$F361=Dashboard!$D$3)),$H361+ROW()/100000,0)</f>
        <v>0</v>
      </c>
    </row>
    <row r="362" spans="2:21" x14ac:dyDescent="0.25">
      <c r="B362" s="37"/>
      <c r="H362" s="38"/>
      <c r="I362" s="37"/>
      <c r="J362" s="39"/>
      <c r="K362" s="39"/>
      <c r="L362" s="39"/>
      <c r="N362" s="17" t="str">
        <f t="shared" si="20"/>
        <v/>
      </c>
      <c r="O362" s="17" t="str">
        <f t="shared" si="21"/>
        <v/>
      </c>
      <c r="P362" s="17" t="str">
        <f>IF($A362="","",IF($L362&lt;&gt;"",$L362,Settings!$C$3)-INT($B362))</f>
        <v/>
      </c>
      <c r="Q362" s="17" t="str">
        <f>IF($O362&lt;&gt;"Open","",Settings!$C$3-IF($J362&lt;&gt;"",$J362,INT($B362)))</f>
        <v/>
      </c>
      <c r="R362" s="17" t="str">
        <f>IF($A362="","",IF($O362="Closed","Closed",IF($F362="Unassigned","Unassigned",IF(AND($K362&lt;&gt;"",$K362&lt;Settings!$C$3),"Overdue",IF($Q362&gt;=Settings!$C$4,"Inactive","On Track")))))</f>
        <v/>
      </c>
      <c r="S362" s="17" t="str">
        <f t="shared" si="22"/>
        <v/>
      </c>
      <c r="T362" s="36" t="str">
        <f t="shared" si="23"/>
        <v/>
      </c>
      <c r="U362" s="33">
        <f>IF(AND($O362="Open",OR(Dashboard!$D$3="All",$F362=Dashboard!$D$3)),$H362+ROW()/100000,0)</f>
        <v>0</v>
      </c>
    </row>
    <row r="363" spans="2:21" x14ac:dyDescent="0.25">
      <c r="B363" s="37"/>
      <c r="H363" s="38"/>
      <c r="I363" s="37"/>
      <c r="J363" s="39"/>
      <c r="K363" s="39"/>
      <c r="L363" s="39"/>
      <c r="N363" s="17" t="str">
        <f t="shared" si="20"/>
        <v/>
      </c>
      <c r="O363" s="17" t="str">
        <f t="shared" si="21"/>
        <v/>
      </c>
      <c r="P363" s="17" t="str">
        <f>IF($A363="","",IF($L363&lt;&gt;"",$L363,Settings!$C$3)-INT($B363))</f>
        <v/>
      </c>
      <c r="Q363" s="17" t="str">
        <f>IF($O363&lt;&gt;"Open","",Settings!$C$3-IF($J363&lt;&gt;"",$J363,INT($B363)))</f>
        <v/>
      </c>
      <c r="R363" s="17" t="str">
        <f>IF($A363="","",IF($O363="Closed","Closed",IF($F363="Unassigned","Unassigned",IF(AND($K363&lt;&gt;"",$K363&lt;Settings!$C$3),"Overdue",IF($Q363&gt;=Settings!$C$4,"Inactive","On Track")))))</f>
        <v/>
      </c>
      <c r="S363" s="17" t="str">
        <f t="shared" si="22"/>
        <v/>
      </c>
      <c r="T363" s="36" t="str">
        <f t="shared" si="23"/>
        <v/>
      </c>
      <c r="U363" s="33">
        <f>IF(AND($O363="Open",OR(Dashboard!$D$3="All",$F363=Dashboard!$D$3)),$H363+ROW()/100000,0)</f>
        <v>0</v>
      </c>
    </row>
    <row r="364" spans="2:21" x14ac:dyDescent="0.25">
      <c r="B364" s="37"/>
      <c r="H364" s="38"/>
      <c r="I364" s="37"/>
      <c r="J364" s="39"/>
      <c r="K364" s="39"/>
      <c r="L364" s="39"/>
      <c r="N364" s="17" t="str">
        <f t="shared" si="20"/>
        <v/>
      </c>
      <c r="O364" s="17" t="str">
        <f t="shared" si="21"/>
        <v/>
      </c>
      <c r="P364" s="17" t="str">
        <f>IF($A364="","",IF($L364&lt;&gt;"",$L364,Settings!$C$3)-INT($B364))</f>
        <v/>
      </c>
      <c r="Q364" s="17" t="str">
        <f>IF($O364&lt;&gt;"Open","",Settings!$C$3-IF($J364&lt;&gt;"",$J364,INT($B364)))</f>
        <v/>
      </c>
      <c r="R364" s="17" t="str">
        <f>IF($A364="","",IF($O364="Closed","Closed",IF($F364="Unassigned","Unassigned",IF(AND($K364&lt;&gt;"",$K364&lt;Settings!$C$3),"Overdue",IF($Q364&gt;=Settings!$C$4,"Inactive","On Track")))))</f>
        <v/>
      </c>
      <c r="S364" s="17" t="str">
        <f t="shared" si="22"/>
        <v/>
      </c>
      <c r="T364" s="36" t="str">
        <f t="shared" si="23"/>
        <v/>
      </c>
      <c r="U364" s="33">
        <f>IF(AND($O364="Open",OR(Dashboard!$D$3="All",$F364=Dashboard!$D$3)),$H364+ROW()/100000,0)</f>
        <v>0</v>
      </c>
    </row>
    <row r="365" spans="2:21" x14ac:dyDescent="0.25">
      <c r="B365" s="37"/>
      <c r="H365" s="38"/>
      <c r="I365" s="37"/>
      <c r="J365" s="39"/>
      <c r="K365" s="39"/>
      <c r="L365" s="39"/>
      <c r="N365" s="17" t="str">
        <f t="shared" si="20"/>
        <v/>
      </c>
      <c r="O365" s="17" t="str">
        <f t="shared" si="21"/>
        <v/>
      </c>
      <c r="P365" s="17" t="str">
        <f>IF($A365="","",IF($L365&lt;&gt;"",$L365,Settings!$C$3)-INT($B365))</f>
        <v/>
      </c>
      <c r="Q365" s="17" t="str">
        <f>IF($O365&lt;&gt;"Open","",Settings!$C$3-IF($J365&lt;&gt;"",$J365,INT($B365)))</f>
        <v/>
      </c>
      <c r="R365" s="17" t="str">
        <f>IF($A365="","",IF($O365="Closed","Closed",IF($F365="Unassigned","Unassigned",IF(AND($K365&lt;&gt;"",$K365&lt;Settings!$C$3),"Overdue",IF($Q365&gt;=Settings!$C$4,"Inactive","On Track")))))</f>
        <v/>
      </c>
      <c r="S365" s="17" t="str">
        <f t="shared" si="22"/>
        <v/>
      </c>
      <c r="T365" s="36" t="str">
        <f t="shared" si="23"/>
        <v/>
      </c>
      <c r="U365" s="33">
        <f>IF(AND($O365="Open",OR(Dashboard!$D$3="All",$F365=Dashboard!$D$3)),$H365+ROW()/100000,0)</f>
        <v>0</v>
      </c>
    </row>
    <row r="366" spans="2:21" x14ac:dyDescent="0.25">
      <c r="B366" s="37"/>
      <c r="H366" s="38"/>
      <c r="I366" s="37"/>
      <c r="J366" s="39"/>
      <c r="K366" s="39"/>
      <c r="L366" s="39"/>
      <c r="N366" s="17" t="str">
        <f t="shared" si="20"/>
        <v/>
      </c>
      <c r="O366" s="17" t="str">
        <f t="shared" si="21"/>
        <v/>
      </c>
      <c r="P366" s="17" t="str">
        <f>IF($A366="","",IF($L366&lt;&gt;"",$L366,Settings!$C$3)-INT($B366))</f>
        <v/>
      </c>
      <c r="Q366" s="17" t="str">
        <f>IF($O366&lt;&gt;"Open","",Settings!$C$3-IF($J366&lt;&gt;"",$J366,INT($B366)))</f>
        <v/>
      </c>
      <c r="R366" s="17" t="str">
        <f>IF($A366="","",IF($O366="Closed","Closed",IF($F366="Unassigned","Unassigned",IF(AND($K366&lt;&gt;"",$K366&lt;Settings!$C$3),"Overdue",IF($Q366&gt;=Settings!$C$4,"Inactive","On Track")))))</f>
        <v/>
      </c>
      <c r="S366" s="17" t="str">
        <f t="shared" si="22"/>
        <v/>
      </c>
      <c r="T366" s="36" t="str">
        <f t="shared" si="23"/>
        <v/>
      </c>
      <c r="U366" s="33">
        <f>IF(AND($O366="Open",OR(Dashboard!$D$3="All",$F366=Dashboard!$D$3)),$H366+ROW()/100000,0)</f>
        <v>0</v>
      </c>
    </row>
    <row r="367" spans="2:21" x14ac:dyDescent="0.25">
      <c r="B367" s="37"/>
      <c r="H367" s="38"/>
      <c r="I367" s="37"/>
      <c r="J367" s="39"/>
      <c r="K367" s="39"/>
      <c r="L367" s="39"/>
      <c r="N367" s="17" t="str">
        <f t="shared" si="20"/>
        <v/>
      </c>
      <c r="O367" s="17" t="str">
        <f t="shared" si="21"/>
        <v/>
      </c>
      <c r="P367" s="17" t="str">
        <f>IF($A367="","",IF($L367&lt;&gt;"",$L367,Settings!$C$3)-INT($B367))</f>
        <v/>
      </c>
      <c r="Q367" s="17" t="str">
        <f>IF($O367&lt;&gt;"Open","",Settings!$C$3-IF($J367&lt;&gt;"",$J367,INT($B367)))</f>
        <v/>
      </c>
      <c r="R367" s="17" t="str">
        <f>IF($A367="","",IF($O367="Closed","Closed",IF($F367="Unassigned","Unassigned",IF(AND($K367&lt;&gt;"",$K367&lt;Settings!$C$3),"Overdue",IF($Q367&gt;=Settings!$C$4,"Inactive","On Track")))))</f>
        <v/>
      </c>
      <c r="S367" s="17" t="str">
        <f t="shared" si="22"/>
        <v/>
      </c>
      <c r="T367" s="36" t="str">
        <f t="shared" si="23"/>
        <v/>
      </c>
      <c r="U367" s="33">
        <f>IF(AND($O367="Open",OR(Dashboard!$D$3="All",$F367=Dashboard!$D$3)),$H367+ROW()/100000,0)</f>
        <v>0</v>
      </c>
    </row>
    <row r="368" spans="2:21" x14ac:dyDescent="0.25">
      <c r="B368" s="37"/>
      <c r="H368" s="38"/>
      <c r="I368" s="37"/>
      <c r="J368" s="39"/>
      <c r="K368" s="39"/>
      <c r="L368" s="39"/>
      <c r="N368" s="17" t="str">
        <f t="shared" si="20"/>
        <v/>
      </c>
      <c r="O368" s="17" t="str">
        <f t="shared" si="21"/>
        <v/>
      </c>
      <c r="P368" s="17" t="str">
        <f>IF($A368="","",IF($L368&lt;&gt;"",$L368,Settings!$C$3)-INT($B368))</f>
        <v/>
      </c>
      <c r="Q368" s="17" t="str">
        <f>IF($O368&lt;&gt;"Open","",Settings!$C$3-IF($J368&lt;&gt;"",$J368,INT($B368)))</f>
        <v/>
      </c>
      <c r="R368" s="17" t="str">
        <f>IF($A368="","",IF($O368="Closed","Closed",IF($F368="Unassigned","Unassigned",IF(AND($K368&lt;&gt;"",$K368&lt;Settings!$C$3),"Overdue",IF($Q368&gt;=Settings!$C$4,"Inactive","On Track")))))</f>
        <v/>
      </c>
      <c r="S368" s="17" t="str">
        <f t="shared" si="22"/>
        <v/>
      </c>
      <c r="T368" s="36" t="str">
        <f t="shared" si="23"/>
        <v/>
      </c>
      <c r="U368" s="33">
        <f>IF(AND($O368="Open",OR(Dashboard!$D$3="All",$F368=Dashboard!$D$3)),$H368+ROW()/100000,0)</f>
        <v>0</v>
      </c>
    </row>
    <row r="369" spans="2:21" x14ac:dyDescent="0.25">
      <c r="B369" s="37"/>
      <c r="H369" s="38"/>
      <c r="I369" s="37"/>
      <c r="J369" s="39"/>
      <c r="K369" s="39"/>
      <c r="L369" s="39"/>
      <c r="N369" s="17" t="str">
        <f t="shared" si="20"/>
        <v/>
      </c>
      <c r="O369" s="17" t="str">
        <f t="shared" si="21"/>
        <v/>
      </c>
      <c r="P369" s="17" t="str">
        <f>IF($A369="","",IF($L369&lt;&gt;"",$L369,Settings!$C$3)-INT($B369))</f>
        <v/>
      </c>
      <c r="Q369" s="17" t="str">
        <f>IF($O369&lt;&gt;"Open","",Settings!$C$3-IF($J369&lt;&gt;"",$J369,INT($B369)))</f>
        <v/>
      </c>
      <c r="R369" s="17" t="str">
        <f>IF($A369="","",IF($O369="Closed","Closed",IF($F369="Unassigned","Unassigned",IF(AND($K369&lt;&gt;"",$K369&lt;Settings!$C$3),"Overdue",IF($Q369&gt;=Settings!$C$4,"Inactive","On Track")))))</f>
        <v/>
      </c>
      <c r="S369" s="17" t="str">
        <f t="shared" si="22"/>
        <v/>
      </c>
      <c r="T369" s="36" t="str">
        <f t="shared" si="23"/>
        <v/>
      </c>
      <c r="U369" s="33">
        <f>IF(AND($O369="Open",OR(Dashboard!$D$3="All",$F369=Dashboard!$D$3)),$H369+ROW()/100000,0)</f>
        <v>0</v>
      </c>
    </row>
    <row r="370" spans="2:21" x14ac:dyDescent="0.25">
      <c r="B370" s="37"/>
      <c r="H370" s="38"/>
      <c r="I370" s="37"/>
      <c r="J370" s="39"/>
      <c r="K370" s="39"/>
      <c r="L370" s="39"/>
      <c r="N370" s="17" t="str">
        <f t="shared" si="20"/>
        <v/>
      </c>
      <c r="O370" s="17" t="str">
        <f t="shared" si="21"/>
        <v/>
      </c>
      <c r="P370" s="17" t="str">
        <f>IF($A370="","",IF($L370&lt;&gt;"",$L370,Settings!$C$3)-INT($B370))</f>
        <v/>
      </c>
      <c r="Q370" s="17" t="str">
        <f>IF($O370&lt;&gt;"Open","",Settings!$C$3-IF($J370&lt;&gt;"",$J370,INT($B370)))</f>
        <v/>
      </c>
      <c r="R370" s="17" t="str">
        <f>IF($A370="","",IF($O370="Closed","Closed",IF($F370="Unassigned","Unassigned",IF(AND($K370&lt;&gt;"",$K370&lt;Settings!$C$3),"Overdue",IF($Q370&gt;=Settings!$C$4,"Inactive","On Track")))))</f>
        <v/>
      </c>
      <c r="S370" s="17" t="str">
        <f t="shared" si="22"/>
        <v/>
      </c>
      <c r="T370" s="36" t="str">
        <f t="shared" si="23"/>
        <v/>
      </c>
      <c r="U370" s="33">
        <f>IF(AND($O370="Open",OR(Dashboard!$D$3="All",$F370=Dashboard!$D$3)),$H370+ROW()/100000,0)</f>
        <v>0</v>
      </c>
    </row>
    <row r="371" spans="2:21" x14ac:dyDescent="0.25">
      <c r="B371" s="37"/>
      <c r="H371" s="38"/>
      <c r="I371" s="37"/>
      <c r="J371" s="39"/>
      <c r="K371" s="39"/>
      <c r="L371" s="39"/>
      <c r="N371" s="17" t="str">
        <f t="shared" si="20"/>
        <v/>
      </c>
      <c r="O371" s="17" t="str">
        <f t="shared" si="21"/>
        <v/>
      </c>
      <c r="P371" s="17" t="str">
        <f>IF($A371="","",IF($L371&lt;&gt;"",$L371,Settings!$C$3)-INT($B371))</f>
        <v/>
      </c>
      <c r="Q371" s="17" t="str">
        <f>IF($O371&lt;&gt;"Open","",Settings!$C$3-IF($J371&lt;&gt;"",$J371,INT($B371)))</f>
        <v/>
      </c>
      <c r="R371" s="17" t="str">
        <f>IF($A371="","",IF($O371="Closed","Closed",IF($F371="Unassigned","Unassigned",IF(AND($K371&lt;&gt;"",$K371&lt;Settings!$C$3),"Overdue",IF($Q371&gt;=Settings!$C$4,"Inactive","On Track")))))</f>
        <v/>
      </c>
      <c r="S371" s="17" t="str">
        <f t="shared" si="22"/>
        <v/>
      </c>
      <c r="T371" s="36" t="str">
        <f t="shared" si="23"/>
        <v/>
      </c>
      <c r="U371" s="33">
        <f>IF(AND($O371="Open",OR(Dashboard!$D$3="All",$F371=Dashboard!$D$3)),$H371+ROW()/100000,0)</f>
        <v>0</v>
      </c>
    </row>
    <row r="372" spans="2:21" x14ac:dyDescent="0.25">
      <c r="B372" s="37"/>
      <c r="H372" s="38"/>
      <c r="I372" s="37"/>
      <c r="J372" s="39"/>
      <c r="K372" s="39"/>
      <c r="L372" s="39"/>
      <c r="N372" s="17" t="str">
        <f t="shared" si="20"/>
        <v/>
      </c>
      <c r="O372" s="17" t="str">
        <f t="shared" si="21"/>
        <v/>
      </c>
      <c r="P372" s="17" t="str">
        <f>IF($A372="","",IF($L372&lt;&gt;"",$L372,Settings!$C$3)-INT($B372))</f>
        <v/>
      </c>
      <c r="Q372" s="17" t="str">
        <f>IF($O372&lt;&gt;"Open","",Settings!$C$3-IF($J372&lt;&gt;"",$J372,INT($B372)))</f>
        <v/>
      </c>
      <c r="R372" s="17" t="str">
        <f>IF($A372="","",IF($O372="Closed","Closed",IF($F372="Unassigned","Unassigned",IF(AND($K372&lt;&gt;"",$K372&lt;Settings!$C$3),"Overdue",IF($Q372&gt;=Settings!$C$4,"Inactive","On Track")))))</f>
        <v/>
      </c>
      <c r="S372" s="17" t="str">
        <f t="shared" si="22"/>
        <v/>
      </c>
      <c r="T372" s="36" t="str">
        <f t="shared" si="23"/>
        <v/>
      </c>
      <c r="U372" s="33">
        <f>IF(AND($O372="Open",OR(Dashboard!$D$3="All",$F372=Dashboard!$D$3)),$H372+ROW()/100000,0)</f>
        <v>0</v>
      </c>
    </row>
    <row r="373" spans="2:21" x14ac:dyDescent="0.25">
      <c r="B373" s="37"/>
      <c r="H373" s="38"/>
      <c r="I373" s="37"/>
      <c r="J373" s="39"/>
      <c r="K373" s="39"/>
      <c r="L373" s="39"/>
      <c r="N373" s="17" t="str">
        <f t="shared" si="20"/>
        <v/>
      </c>
      <c r="O373" s="17" t="str">
        <f t="shared" si="21"/>
        <v/>
      </c>
      <c r="P373" s="17" t="str">
        <f>IF($A373="","",IF($L373&lt;&gt;"",$L373,Settings!$C$3)-INT($B373))</f>
        <v/>
      </c>
      <c r="Q373" s="17" t="str">
        <f>IF($O373&lt;&gt;"Open","",Settings!$C$3-IF($J373&lt;&gt;"",$J373,INT($B373)))</f>
        <v/>
      </c>
      <c r="R373" s="17" t="str">
        <f>IF($A373="","",IF($O373="Closed","Closed",IF($F373="Unassigned","Unassigned",IF(AND($K373&lt;&gt;"",$K373&lt;Settings!$C$3),"Overdue",IF($Q373&gt;=Settings!$C$4,"Inactive","On Track")))))</f>
        <v/>
      </c>
      <c r="S373" s="17" t="str">
        <f t="shared" si="22"/>
        <v/>
      </c>
      <c r="T373" s="36" t="str">
        <f t="shared" si="23"/>
        <v/>
      </c>
      <c r="U373" s="33">
        <f>IF(AND($O373="Open",OR(Dashboard!$D$3="All",$F373=Dashboard!$D$3)),$H373+ROW()/100000,0)</f>
        <v>0</v>
      </c>
    </row>
    <row r="374" spans="2:21" x14ac:dyDescent="0.25">
      <c r="B374" s="37"/>
      <c r="H374" s="38"/>
      <c r="I374" s="37"/>
      <c r="J374" s="39"/>
      <c r="K374" s="39"/>
      <c r="L374" s="39"/>
      <c r="N374" s="17" t="str">
        <f t="shared" si="20"/>
        <v/>
      </c>
      <c r="O374" s="17" t="str">
        <f t="shared" si="21"/>
        <v/>
      </c>
      <c r="P374" s="17" t="str">
        <f>IF($A374="","",IF($L374&lt;&gt;"",$L374,Settings!$C$3)-INT($B374))</f>
        <v/>
      </c>
      <c r="Q374" s="17" t="str">
        <f>IF($O374&lt;&gt;"Open","",Settings!$C$3-IF($J374&lt;&gt;"",$J374,INT($B374)))</f>
        <v/>
      </c>
      <c r="R374" s="17" t="str">
        <f>IF($A374="","",IF($O374="Closed","Closed",IF($F374="Unassigned","Unassigned",IF(AND($K374&lt;&gt;"",$K374&lt;Settings!$C$3),"Overdue",IF($Q374&gt;=Settings!$C$4,"Inactive","On Track")))))</f>
        <v/>
      </c>
      <c r="S374" s="17" t="str">
        <f t="shared" si="22"/>
        <v/>
      </c>
      <c r="T374" s="36" t="str">
        <f t="shared" si="23"/>
        <v/>
      </c>
      <c r="U374" s="33">
        <f>IF(AND($O374="Open",OR(Dashboard!$D$3="All",$F374=Dashboard!$D$3)),$H374+ROW()/100000,0)</f>
        <v>0</v>
      </c>
    </row>
    <row r="375" spans="2:21" x14ac:dyDescent="0.25">
      <c r="B375" s="37"/>
      <c r="H375" s="38"/>
      <c r="I375" s="37"/>
      <c r="J375" s="39"/>
      <c r="K375" s="39"/>
      <c r="L375" s="39"/>
      <c r="N375" s="17" t="str">
        <f t="shared" si="20"/>
        <v/>
      </c>
      <c r="O375" s="17" t="str">
        <f t="shared" si="21"/>
        <v/>
      </c>
      <c r="P375" s="17" t="str">
        <f>IF($A375="","",IF($L375&lt;&gt;"",$L375,Settings!$C$3)-INT($B375))</f>
        <v/>
      </c>
      <c r="Q375" s="17" t="str">
        <f>IF($O375&lt;&gt;"Open","",Settings!$C$3-IF($J375&lt;&gt;"",$J375,INT($B375)))</f>
        <v/>
      </c>
      <c r="R375" s="17" t="str">
        <f>IF($A375="","",IF($O375="Closed","Closed",IF($F375="Unassigned","Unassigned",IF(AND($K375&lt;&gt;"",$K375&lt;Settings!$C$3),"Overdue",IF($Q375&gt;=Settings!$C$4,"Inactive","On Track")))))</f>
        <v/>
      </c>
      <c r="S375" s="17" t="str">
        <f t="shared" si="22"/>
        <v/>
      </c>
      <c r="T375" s="36" t="str">
        <f t="shared" si="23"/>
        <v/>
      </c>
      <c r="U375" s="33">
        <f>IF(AND($O375="Open",OR(Dashboard!$D$3="All",$F375=Dashboard!$D$3)),$H375+ROW()/100000,0)</f>
        <v>0</v>
      </c>
    </row>
    <row r="376" spans="2:21" x14ac:dyDescent="0.25">
      <c r="B376" s="37"/>
      <c r="H376" s="38"/>
      <c r="I376" s="37"/>
      <c r="J376" s="39"/>
      <c r="K376" s="39"/>
      <c r="L376" s="39"/>
      <c r="N376" s="17" t="str">
        <f t="shared" si="20"/>
        <v/>
      </c>
      <c r="O376" s="17" t="str">
        <f t="shared" si="21"/>
        <v/>
      </c>
      <c r="P376" s="17" t="str">
        <f>IF($A376="","",IF($L376&lt;&gt;"",$L376,Settings!$C$3)-INT($B376))</f>
        <v/>
      </c>
      <c r="Q376" s="17" t="str">
        <f>IF($O376&lt;&gt;"Open","",Settings!$C$3-IF($J376&lt;&gt;"",$J376,INT($B376)))</f>
        <v/>
      </c>
      <c r="R376" s="17" t="str">
        <f>IF($A376="","",IF($O376="Closed","Closed",IF($F376="Unassigned","Unassigned",IF(AND($K376&lt;&gt;"",$K376&lt;Settings!$C$3),"Overdue",IF($Q376&gt;=Settings!$C$4,"Inactive","On Track")))))</f>
        <v/>
      </c>
      <c r="S376" s="17" t="str">
        <f t="shared" si="22"/>
        <v/>
      </c>
      <c r="T376" s="36" t="str">
        <f t="shared" si="23"/>
        <v/>
      </c>
      <c r="U376" s="33">
        <f>IF(AND($O376="Open",OR(Dashboard!$D$3="All",$F376=Dashboard!$D$3)),$H376+ROW()/100000,0)</f>
        <v>0</v>
      </c>
    </row>
    <row r="377" spans="2:21" x14ac:dyDescent="0.25">
      <c r="B377" s="37"/>
      <c r="H377" s="38"/>
      <c r="I377" s="37"/>
      <c r="J377" s="39"/>
      <c r="K377" s="39"/>
      <c r="L377" s="39"/>
      <c r="N377" s="17" t="str">
        <f t="shared" si="20"/>
        <v/>
      </c>
      <c r="O377" s="17" t="str">
        <f t="shared" si="21"/>
        <v/>
      </c>
      <c r="P377" s="17" t="str">
        <f>IF($A377="","",IF($L377&lt;&gt;"",$L377,Settings!$C$3)-INT($B377))</f>
        <v/>
      </c>
      <c r="Q377" s="17" t="str">
        <f>IF($O377&lt;&gt;"Open","",Settings!$C$3-IF($J377&lt;&gt;"",$J377,INT($B377)))</f>
        <v/>
      </c>
      <c r="R377" s="17" t="str">
        <f>IF($A377="","",IF($O377="Closed","Closed",IF($F377="Unassigned","Unassigned",IF(AND($K377&lt;&gt;"",$K377&lt;Settings!$C$3),"Overdue",IF($Q377&gt;=Settings!$C$4,"Inactive","On Track")))))</f>
        <v/>
      </c>
      <c r="S377" s="17" t="str">
        <f t="shared" si="22"/>
        <v/>
      </c>
      <c r="T377" s="36" t="str">
        <f t="shared" si="23"/>
        <v/>
      </c>
      <c r="U377" s="33">
        <f>IF(AND($O377="Open",OR(Dashboard!$D$3="All",$F377=Dashboard!$D$3)),$H377+ROW()/100000,0)</f>
        <v>0</v>
      </c>
    </row>
    <row r="378" spans="2:21" x14ac:dyDescent="0.25">
      <c r="B378" s="37"/>
      <c r="H378" s="38"/>
      <c r="I378" s="37"/>
      <c r="J378" s="39"/>
      <c r="K378" s="39"/>
      <c r="L378" s="39"/>
      <c r="N378" s="17" t="str">
        <f t="shared" si="20"/>
        <v/>
      </c>
      <c r="O378" s="17" t="str">
        <f t="shared" si="21"/>
        <v/>
      </c>
      <c r="P378" s="17" t="str">
        <f>IF($A378="","",IF($L378&lt;&gt;"",$L378,Settings!$C$3)-INT($B378))</f>
        <v/>
      </c>
      <c r="Q378" s="17" t="str">
        <f>IF($O378&lt;&gt;"Open","",Settings!$C$3-IF($J378&lt;&gt;"",$J378,INT($B378)))</f>
        <v/>
      </c>
      <c r="R378" s="17" t="str">
        <f>IF($A378="","",IF($O378="Closed","Closed",IF($F378="Unassigned","Unassigned",IF(AND($K378&lt;&gt;"",$K378&lt;Settings!$C$3),"Overdue",IF($Q378&gt;=Settings!$C$4,"Inactive","On Track")))))</f>
        <v/>
      </c>
      <c r="S378" s="17" t="str">
        <f t="shared" si="22"/>
        <v/>
      </c>
      <c r="T378" s="36" t="str">
        <f t="shared" si="23"/>
        <v/>
      </c>
      <c r="U378" s="33">
        <f>IF(AND($O378="Open",OR(Dashboard!$D$3="All",$F378=Dashboard!$D$3)),$H378+ROW()/100000,0)</f>
        <v>0</v>
      </c>
    </row>
    <row r="379" spans="2:21" x14ac:dyDescent="0.25">
      <c r="B379" s="37"/>
      <c r="H379" s="38"/>
      <c r="I379" s="37"/>
      <c r="J379" s="39"/>
      <c r="K379" s="39"/>
      <c r="L379" s="39"/>
      <c r="N379" s="17" t="str">
        <f t="shared" si="20"/>
        <v/>
      </c>
      <c r="O379" s="17" t="str">
        <f t="shared" si="21"/>
        <v/>
      </c>
      <c r="P379" s="17" t="str">
        <f>IF($A379="","",IF($L379&lt;&gt;"",$L379,Settings!$C$3)-INT($B379))</f>
        <v/>
      </c>
      <c r="Q379" s="17" t="str">
        <f>IF($O379&lt;&gt;"Open","",Settings!$C$3-IF($J379&lt;&gt;"",$J379,INT($B379)))</f>
        <v/>
      </c>
      <c r="R379" s="17" t="str">
        <f>IF($A379="","",IF($O379="Closed","Closed",IF($F379="Unassigned","Unassigned",IF(AND($K379&lt;&gt;"",$K379&lt;Settings!$C$3),"Overdue",IF($Q379&gt;=Settings!$C$4,"Inactive","On Track")))))</f>
        <v/>
      </c>
      <c r="S379" s="17" t="str">
        <f t="shared" si="22"/>
        <v/>
      </c>
      <c r="T379" s="36" t="str">
        <f t="shared" si="23"/>
        <v/>
      </c>
      <c r="U379" s="33">
        <f>IF(AND($O379="Open",OR(Dashboard!$D$3="All",$F379=Dashboard!$D$3)),$H379+ROW()/100000,0)</f>
        <v>0</v>
      </c>
    </row>
    <row r="380" spans="2:21" x14ac:dyDescent="0.25">
      <c r="B380" s="37"/>
      <c r="H380" s="38"/>
      <c r="I380" s="37"/>
      <c r="J380" s="39"/>
      <c r="K380" s="39"/>
      <c r="L380" s="39"/>
      <c r="N380" s="17" t="str">
        <f t="shared" si="20"/>
        <v/>
      </c>
      <c r="O380" s="17" t="str">
        <f t="shared" si="21"/>
        <v/>
      </c>
      <c r="P380" s="17" t="str">
        <f>IF($A380="","",IF($L380&lt;&gt;"",$L380,Settings!$C$3)-INT($B380))</f>
        <v/>
      </c>
      <c r="Q380" s="17" t="str">
        <f>IF($O380&lt;&gt;"Open","",Settings!$C$3-IF($J380&lt;&gt;"",$J380,INT($B380)))</f>
        <v/>
      </c>
      <c r="R380" s="17" t="str">
        <f>IF($A380="","",IF($O380="Closed","Closed",IF($F380="Unassigned","Unassigned",IF(AND($K380&lt;&gt;"",$K380&lt;Settings!$C$3),"Overdue",IF($Q380&gt;=Settings!$C$4,"Inactive","On Track")))))</f>
        <v/>
      </c>
      <c r="S380" s="17" t="str">
        <f t="shared" si="22"/>
        <v/>
      </c>
      <c r="T380" s="36" t="str">
        <f t="shared" si="23"/>
        <v/>
      </c>
      <c r="U380" s="33">
        <f>IF(AND($O380="Open",OR(Dashboard!$D$3="All",$F380=Dashboard!$D$3)),$H380+ROW()/100000,0)</f>
        <v>0</v>
      </c>
    </row>
    <row r="381" spans="2:21" x14ac:dyDescent="0.25">
      <c r="B381" s="37"/>
      <c r="H381" s="38"/>
      <c r="I381" s="37"/>
      <c r="J381" s="39"/>
      <c r="K381" s="39"/>
      <c r="L381" s="39"/>
      <c r="N381" s="17" t="str">
        <f t="shared" si="20"/>
        <v/>
      </c>
      <c r="O381" s="17" t="str">
        <f t="shared" si="21"/>
        <v/>
      </c>
      <c r="P381" s="17" t="str">
        <f>IF($A381="","",IF($L381&lt;&gt;"",$L381,Settings!$C$3)-INT($B381))</f>
        <v/>
      </c>
      <c r="Q381" s="17" t="str">
        <f>IF($O381&lt;&gt;"Open","",Settings!$C$3-IF($J381&lt;&gt;"",$J381,INT($B381)))</f>
        <v/>
      </c>
      <c r="R381" s="17" t="str">
        <f>IF($A381="","",IF($O381="Closed","Closed",IF($F381="Unassigned","Unassigned",IF(AND($K381&lt;&gt;"",$K381&lt;Settings!$C$3),"Overdue",IF($Q381&gt;=Settings!$C$4,"Inactive","On Track")))))</f>
        <v/>
      </c>
      <c r="S381" s="17" t="str">
        <f t="shared" si="22"/>
        <v/>
      </c>
      <c r="T381" s="36" t="str">
        <f t="shared" si="23"/>
        <v/>
      </c>
      <c r="U381" s="33">
        <f>IF(AND($O381="Open",OR(Dashboard!$D$3="All",$F381=Dashboard!$D$3)),$H381+ROW()/100000,0)</f>
        <v>0</v>
      </c>
    </row>
    <row r="382" spans="2:21" x14ac:dyDescent="0.25">
      <c r="B382" s="37"/>
      <c r="H382" s="38"/>
      <c r="I382" s="37"/>
      <c r="J382" s="39"/>
      <c r="K382" s="39"/>
      <c r="L382" s="39"/>
      <c r="N382" s="17" t="str">
        <f t="shared" si="20"/>
        <v/>
      </c>
      <c r="O382" s="17" t="str">
        <f t="shared" si="21"/>
        <v/>
      </c>
      <c r="P382" s="17" t="str">
        <f>IF($A382="","",IF($L382&lt;&gt;"",$L382,Settings!$C$3)-INT($B382))</f>
        <v/>
      </c>
      <c r="Q382" s="17" t="str">
        <f>IF($O382&lt;&gt;"Open","",Settings!$C$3-IF($J382&lt;&gt;"",$J382,INT($B382)))</f>
        <v/>
      </c>
      <c r="R382" s="17" t="str">
        <f>IF($A382="","",IF($O382="Closed","Closed",IF($F382="Unassigned","Unassigned",IF(AND($K382&lt;&gt;"",$K382&lt;Settings!$C$3),"Overdue",IF($Q382&gt;=Settings!$C$4,"Inactive","On Track")))))</f>
        <v/>
      </c>
      <c r="S382" s="17" t="str">
        <f t="shared" si="22"/>
        <v/>
      </c>
      <c r="T382" s="36" t="str">
        <f t="shared" si="23"/>
        <v/>
      </c>
      <c r="U382" s="33">
        <f>IF(AND($O382="Open",OR(Dashboard!$D$3="All",$F382=Dashboard!$D$3)),$H382+ROW()/100000,0)</f>
        <v>0</v>
      </c>
    </row>
    <row r="383" spans="2:21" x14ac:dyDescent="0.25">
      <c r="B383" s="37"/>
      <c r="H383" s="38"/>
      <c r="I383" s="37"/>
      <c r="J383" s="39"/>
      <c r="K383" s="39"/>
      <c r="L383" s="39"/>
      <c r="N383" s="17" t="str">
        <f t="shared" si="20"/>
        <v/>
      </c>
      <c r="O383" s="17" t="str">
        <f t="shared" si="21"/>
        <v/>
      </c>
      <c r="P383" s="17" t="str">
        <f>IF($A383="","",IF($L383&lt;&gt;"",$L383,Settings!$C$3)-INT($B383))</f>
        <v/>
      </c>
      <c r="Q383" s="17" t="str">
        <f>IF($O383&lt;&gt;"Open","",Settings!$C$3-IF($J383&lt;&gt;"",$J383,INT($B383)))</f>
        <v/>
      </c>
      <c r="R383" s="17" t="str">
        <f>IF($A383="","",IF($O383="Closed","Closed",IF($F383="Unassigned","Unassigned",IF(AND($K383&lt;&gt;"",$K383&lt;Settings!$C$3),"Overdue",IF($Q383&gt;=Settings!$C$4,"Inactive","On Track")))))</f>
        <v/>
      </c>
      <c r="S383" s="17" t="str">
        <f t="shared" si="22"/>
        <v/>
      </c>
      <c r="T383" s="36" t="str">
        <f t="shared" si="23"/>
        <v/>
      </c>
      <c r="U383" s="33">
        <f>IF(AND($O383="Open",OR(Dashboard!$D$3="All",$F383=Dashboard!$D$3)),$H383+ROW()/100000,0)</f>
        <v>0</v>
      </c>
    </row>
    <row r="384" spans="2:21" x14ac:dyDescent="0.25">
      <c r="B384" s="37"/>
      <c r="H384" s="38"/>
      <c r="I384" s="37"/>
      <c r="J384" s="39"/>
      <c r="K384" s="39"/>
      <c r="L384" s="39"/>
      <c r="N384" s="17" t="str">
        <f t="shared" si="20"/>
        <v/>
      </c>
      <c r="O384" s="17" t="str">
        <f t="shared" si="21"/>
        <v/>
      </c>
      <c r="P384" s="17" t="str">
        <f>IF($A384="","",IF($L384&lt;&gt;"",$L384,Settings!$C$3)-INT($B384))</f>
        <v/>
      </c>
      <c r="Q384" s="17" t="str">
        <f>IF($O384&lt;&gt;"Open","",Settings!$C$3-IF($J384&lt;&gt;"",$J384,INT($B384)))</f>
        <v/>
      </c>
      <c r="R384" s="17" t="str">
        <f>IF($A384="","",IF($O384="Closed","Closed",IF($F384="Unassigned","Unassigned",IF(AND($K384&lt;&gt;"",$K384&lt;Settings!$C$3),"Overdue",IF($Q384&gt;=Settings!$C$4,"Inactive","On Track")))))</f>
        <v/>
      </c>
      <c r="S384" s="17" t="str">
        <f t="shared" si="22"/>
        <v/>
      </c>
      <c r="T384" s="36" t="str">
        <f t="shared" si="23"/>
        <v/>
      </c>
      <c r="U384" s="33">
        <f>IF(AND($O384="Open",OR(Dashboard!$D$3="All",$F384=Dashboard!$D$3)),$H384+ROW()/100000,0)</f>
        <v>0</v>
      </c>
    </row>
    <row r="385" spans="2:21" x14ac:dyDescent="0.25">
      <c r="B385" s="37"/>
      <c r="H385" s="38"/>
      <c r="I385" s="37"/>
      <c r="J385" s="39"/>
      <c r="K385" s="39"/>
      <c r="L385" s="39"/>
      <c r="N385" s="17" t="str">
        <f t="shared" si="20"/>
        <v/>
      </c>
      <c r="O385" s="17" t="str">
        <f t="shared" si="21"/>
        <v/>
      </c>
      <c r="P385" s="17" t="str">
        <f>IF($A385="","",IF($L385&lt;&gt;"",$L385,Settings!$C$3)-INT($B385))</f>
        <v/>
      </c>
      <c r="Q385" s="17" t="str">
        <f>IF($O385&lt;&gt;"Open","",Settings!$C$3-IF($J385&lt;&gt;"",$J385,INT($B385)))</f>
        <v/>
      </c>
      <c r="R385" s="17" t="str">
        <f>IF($A385="","",IF($O385="Closed","Closed",IF($F385="Unassigned","Unassigned",IF(AND($K385&lt;&gt;"",$K385&lt;Settings!$C$3),"Overdue",IF($Q385&gt;=Settings!$C$4,"Inactive","On Track")))))</f>
        <v/>
      </c>
      <c r="S385" s="17" t="str">
        <f t="shared" si="22"/>
        <v/>
      </c>
      <c r="T385" s="36" t="str">
        <f t="shared" si="23"/>
        <v/>
      </c>
      <c r="U385" s="33">
        <f>IF(AND($O385="Open",OR(Dashboard!$D$3="All",$F385=Dashboard!$D$3)),$H385+ROW()/100000,0)</f>
        <v>0</v>
      </c>
    </row>
    <row r="386" spans="2:21" x14ac:dyDescent="0.25">
      <c r="B386" s="37"/>
      <c r="H386" s="38"/>
      <c r="I386" s="37"/>
      <c r="J386" s="39"/>
      <c r="K386" s="39"/>
      <c r="L386" s="39"/>
      <c r="N386" s="17" t="str">
        <f t="shared" ref="N386:N449" si="24">IF(OR($A386="",$I386=""),"",ROUND(($I386-$B386)*24,1))</f>
        <v/>
      </c>
      <c r="O386" s="17" t="str">
        <f t="shared" ref="O386:O449" si="25">IF($A386="","",IF(OR($G386="Won",$G386="Lost"),"Closed","Open"))</f>
        <v/>
      </c>
      <c r="P386" s="17" t="str">
        <f>IF($A386="","",IF($L386&lt;&gt;"",$L386,Settings!$C$3)-INT($B386))</f>
        <v/>
      </c>
      <c r="Q386" s="17" t="str">
        <f>IF($O386&lt;&gt;"Open","",Settings!$C$3-IF($J386&lt;&gt;"",$J386,INT($B386)))</f>
        <v/>
      </c>
      <c r="R386" s="17" t="str">
        <f>IF($A386="","",IF($O386="Closed","Closed",IF($F386="Unassigned","Unassigned",IF(AND($K386&lt;&gt;"",$K386&lt;Settings!$C$3),"Overdue",IF($Q386&gt;=Settings!$C$4,"Inactive","On Track")))))</f>
        <v/>
      </c>
      <c r="S386" s="17" t="str">
        <f t="shared" ref="S386:S449" si="26">IF($O386&lt;&gt;"Open","",IF($P386&lt;=7,"0-7 days",IF($P386&lt;=15,"8-15 days",IF($P386&lt;=30,"16-30 days",IF($P386&lt;=60,"31-60 days","60+ days")))))</f>
        <v/>
      </c>
      <c r="T386" s="36" t="str">
        <f t="shared" ref="T386:T449" si="27">IF($A386="","",DATE(YEAR($B386),MONTH($B386),1))</f>
        <v/>
      </c>
      <c r="U386" s="33">
        <f>IF(AND($O386="Open",OR(Dashboard!$D$3="All",$F386=Dashboard!$D$3)),$H386+ROW()/100000,0)</f>
        <v>0</v>
      </c>
    </row>
    <row r="387" spans="2:21" x14ac:dyDescent="0.25">
      <c r="B387" s="37"/>
      <c r="H387" s="38"/>
      <c r="I387" s="37"/>
      <c r="J387" s="39"/>
      <c r="K387" s="39"/>
      <c r="L387" s="39"/>
      <c r="N387" s="17" t="str">
        <f t="shared" si="24"/>
        <v/>
      </c>
      <c r="O387" s="17" t="str">
        <f t="shared" si="25"/>
        <v/>
      </c>
      <c r="P387" s="17" t="str">
        <f>IF($A387="","",IF($L387&lt;&gt;"",$L387,Settings!$C$3)-INT($B387))</f>
        <v/>
      </c>
      <c r="Q387" s="17" t="str">
        <f>IF($O387&lt;&gt;"Open","",Settings!$C$3-IF($J387&lt;&gt;"",$J387,INT($B387)))</f>
        <v/>
      </c>
      <c r="R387" s="17" t="str">
        <f>IF($A387="","",IF($O387="Closed","Closed",IF($F387="Unassigned","Unassigned",IF(AND($K387&lt;&gt;"",$K387&lt;Settings!$C$3),"Overdue",IF($Q387&gt;=Settings!$C$4,"Inactive","On Track")))))</f>
        <v/>
      </c>
      <c r="S387" s="17" t="str">
        <f t="shared" si="26"/>
        <v/>
      </c>
      <c r="T387" s="36" t="str">
        <f t="shared" si="27"/>
        <v/>
      </c>
      <c r="U387" s="33">
        <f>IF(AND($O387="Open",OR(Dashboard!$D$3="All",$F387=Dashboard!$D$3)),$H387+ROW()/100000,0)</f>
        <v>0</v>
      </c>
    </row>
    <row r="388" spans="2:21" x14ac:dyDescent="0.25">
      <c r="B388" s="37"/>
      <c r="H388" s="38"/>
      <c r="I388" s="37"/>
      <c r="J388" s="39"/>
      <c r="K388" s="39"/>
      <c r="L388" s="39"/>
      <c r="N388" s="17" t="str">
        <f t="shared" si="24"/>
        <v/>
      </c>
      <c r="O388" s="17" t="str">
        <f t="shared" si="25"/>
        <v/>
      </c>
      <c r="P388" s="17" t="str">
        <f>IF($A388="","",IF($L388&lt;&gt;"",$L388,Settings!$C$3)-INT($B388))</f>
        <v/>
      </c>
      <c r="Q388" s="17" t="str">
        <f>IF($O388&lt;&gt;"Open","",Settings!$C$3-IF($J388&lt;&gt;"",$J388,INT($B388)))</f>
        <v/>
      </c>
      <c r="R388" s="17" t="str">
        <f>IF($A388="","",IF($O388="Closed","Closed",IF($F388="Unassigned","Unassigned",IF(AND($K388&lt;&gt;"",$K388&lt;Settings!$C$3),"Overdue",IF($Q388&gt;=Settings!$C$4,"Inactive","On Track")))))</f>
        <v/>
      </c>
      <c r="S388" s="17" t="str">
        <f t="shared" si="26"/>
        <v/>
      </c>
      <c r="T388" s="36" t="str">
        <f t="shared" si="27"/>
        <v/>
      </c>
      <c r="U388" s="33">
        <f>IF(AND($O388="Open",OR(Dashboard!$D$3="All",$F388=Dashboard!$D$3)),$H388+ROW()/100000,0)</f>
        <v>0</v>
      </c>
    </row>
    <row r="389" spans="2:21" x14ac:dyDescent="0.25">
      <c r="B389" s="37"/>
      <c r="H389" s="38"/>
      <c r="I389" s="37"/>
      <c r="J389" s="39"/>
      <c r="K389" s="39"/>
      <c r="L389" s="39"/>
      <c r="N389" s="17" t="str">
        <f t="shared" si="24"/>
        <v/>
      </c>
      <c r="O389" s="17" t="str">
        <f t="shared" si="25"/>
        <v/>
      </c>
      <c r="P389" s="17" t="str">
        <f>IF($A389="","",IF($L389&lt;&gt;"",$L389,Settings!$C$3)-INT($B389))</f>
        <v/>
      </c>
      <c r="Q389" s="17" t="str">
        <f>IF($O389&lt;&gt;"Open","",Settings!$C$3-IF($J389&lt;&gt;"",$J389,INT($B389)))</f>
        <v/>
      </c>
      <c r="R389" s="17" t="str">
        <f>IF($A389="","",IF($O389="Closed","Closed",IF($F389="Unassigned","Unassigned",IF(AND($K389&lt;&gt;"",$K389&lt;Settings!$C$3),"Overdue",IF($Q389&gt;=Settings!$C$4,"Inactive","On Track")))))</f>
        <v/>
      </c>
      <c r="S389" s="17" t="str">
        <f t="shared" si="26"/>
        <v/>
      </c>
      <c r="T389" s="36" t="str">
        <f t="shared" si="27"/>
        <v/>
      </c>
      <c r="U389" s="33">
        <f>IF(AND($O389="Open",OR(Dashboard!$D$3="All",$F389=Dashboard!$D$3)),$H389+ROW()/100000,0)</f>
        <v>0</v>
      </c>
    </row>
    <row r="390" spans="2:21" x14ac:dyDescent="0.25">
      <c r="B390" s="37"/>
      <c r="H390" s="38"/>
      <c r="I390" s="37"/>
      <c r="J390" s="39"/>
      <c r="K390" s="39"/>
      <c r="L390" s="39"/>
      <c r="N390" s="17" t="str">
        <f t="shared" si="24"/>
        <v/>
      </c>
      <c r="O390" s="17" t="str">
        <f t="shared" si="25"/>
        <v/>
      </c>
      <c r="P390" s="17" t="str">
        <f>IF($A390="","",IF($L390&lt;&gt;"",$L390,Settings!$C$3)-INT($B390))</f>
        <v/>
      </c>
      <c r="Q390" s="17" t="str">
        <f>IF($O390&lt;&gt;"Open","",Settings!$C$3-IF($J390&lt;&gt;"",$J390,INT($B390)))</f>
        <v/>
      </c>
      <c r="R390" s="17" t="str">
        <f>IF($A390="","",IF($O390="Closed","Closed",IF($F390="Unassigned","Unassigned",IF(AND($K390&lt;&gt;"",$K390&lt;Settings!$C$3),"Overdue",IF($Q390&gt;=Settings!$C$4,"Inactive","On Track")))))</f>
        <v/>
      </c>
      <c r="S390" s="17" t="str">
        <f t="shared" si="26"/>
        <v/>
      </c>
      <c r="T390" s="36" t="str">
        <f t="shared" si="27"/>
        <v/>
      </c>
      <c r="U390" s="33">
        <f>IF(AND($O390="Open",OR(Dashboard!$D$3="All",$F390=Dashboard!$D$3)),$H390+ROW()/100000,0)</f>
        <v>0</v>
      </c>
    </row>
    <row r="391" spans="2:21" x14ac:dyDescent="0.25">
      <c r="B391" s="37"/>
      <c r="H391" s="38"/>
      <c r="I391" s="37"/>
      <c r="J391" s="39"/>
      <c r="K391" s="39"/>
      <c r="L391" s="39"/>
      <c r="N391" s="17" t="str">
        <f t="shared" si="24"/>
        <v/>
      </c>
      <c r="O391" s="17" t="str">
        <f t="shared" si="25"/>
        <v/>
      </c>
      <c r="P391" s="17" t="str">
        <f>IF($A391="","",IF($L391&lt;&gt;"",$L391,Settings!$C$3)-INT($B391))</f>
        <v/>
      </c>
      <c r="Q391" s="17" t="str">
        <f>IF($O391&lt;&gt;"Open","",Settings!$C$3-IF($J391&lt;&gt;"",$J391,INT($B391)))</f>
        <v/>
      </c>
      <c r="R391" s="17" t="str">
        <f>IF($A391="","",IF($O391="Closed","Closed",IF($F391="Unassigned","Unassigned",IF(AND($K391&lt;&gt;"",$K391&lt;Settings!$C$3),"Overdue",IF($Q391&gt;=Settings!$C$4,"Inactive","On Track")))))</f>
        <v/>
      </c>
      <c r="S391" s="17" t="str">
        <f t="shared" si="26"/>
        <v/>
      </c>
      <c r="T391" s="36" t="str">
        <f t="shared" si="27"/>
        <v/>
      </c>
      <c r="U391" s="33">
        <f>IF(AND($O391="Open",OR(Dashboard!$D$3="All",$F391=Dashboard!$D$3)),$H391+ROW()/100000,0)</f>
        <v>0</v>
      </c>
    </row>
    <row r="392" spans="2:21" x14ac:dyDescent="0.25">
      <c r="B392" s="37"/>
      <c r="H392" s="38"/>
      <c r="I392" s="37"/>
      <c r="J392" s="39"/>
      <c r="K392" s="39"/>
      <c r="L392" s="39"/>
      <c r="N392" s="17" t="str">
        <f t="shared" si="24"/>
        <v/>
      </c>
      <c r="O392" s="17" t="str">
        <f t="shared" si="25"/>
        <v/>
      </c>
      <c r="P392" s="17" t="str">
        <f>IF($A392="","",IF($L392&lt;&gt;"",$L392,Settings!$C$3)-INT($B392))</f>
        <v/>
      </c>
      <c r="Q392" s="17" t="str">
        <f>IF($O392&lt;&gt;"Open","",Settings!$C$3-IF($J392&lt;&gt;"",$J392,INT($B392)))</f>
        <v/>
      </c>
      <c r="R392" s="17" t="str">
        <f>IF($A392="","",IF($O392="Closed","Closed",IF($F392="Unassigned","Unassigned",IF(AND($K392&lt;&gt;"",$K392&lt;Settings!$C$3),"Overdue",IF($Q392&gt;=Settings!$C$4,"Inactive","On Track")))))</f>
        <v/>
      </c>
      <c r="S392" s="17" t="str">
        <f t="shared" si="26"/>
        <v/>
      </c>
      <c r="T392" s="36" t="str">
        <f t="shared" si="27"/>
        <v/>
      </c>
      <c r="U392" s="33">
        <f>IF(AND($O392="Open",OR(Dashboard!$D$3="All",$F392=Dashboard!$D$3)),$H392+ROW()/100000,0)</f>
        <v>0</v>
      </c>
    </row>
    <row r="393" spans="2:21" x14ac:dyDescent="0.25">
      <c r="B393" s="37"/>
      <c r="H393" s="38"/>
      <c r="I393" s="37"/>
      <c r="J393" s="39"/>
      <c r="K393" s="39"/>
      <c r="L393" s="39"/>
      <c r="N393" s="17" t="str">
        <f t="shared" si="24"/>
        <v/>
      </c>
      <c r="O393" s="17" t="str">
        <f t="shared" si="25"/>
        <v/>
      </c>
      <c r="P393" s="17" t="str">
        <f>IF($A393="","",IF($L393&lt;&gt;"",$L393,Settings!$C$3)-INT($B393))</f>
        <v/>
      </c>
      <c r="Q393" s="17" t="str">
        <f>IF($O393&lt;&gt;"Open","",Settings!$C$3-IF($J393&lt;&gt;"",$J393,INT($B393)))</f>
        <v/>
      </c>
      <c r="R393" s="17" t="str">
        <f>IF($A393="","",IF($O393="Closed","Closed",IF($F393="Unassigned","Unassigned",IF(AND($K393&lt;&gt;"",$K393&lt;Settings!$C$3),"Overdue",IF($Q393&gt;=Settings!$C$4,"Inactive","On Track")))))</f>
        <v/>
      </c>
      <c r="S393" s="17" t="str">
        <f t="shared" si="26"/>
        <v/>
      </c>
      <c r="T393" s="36" t="str">
        <f t="shared" si="27"/>
        <v/>
      </c>
      <c r="U393" s="33">
        <f>IF(AND($O393="Open",OR(Dashboard!$D$3="All",$F393=Dashboard!$D$3)),$H393+ROW()/100000,0)</f>
        <v>0</v>
      </c>
    </row>
    <row r="394" spans="2:21" x14ac:dyDescent="0.25">
      <c r="B394" s="37"/>
      <c r="H394" s="38"/>
      <c r="I394" s="37"/>
      <c r="J394" s="39"/>
      <c r="K394" s="39"/>
      <c r="L394" s="39"/>
      <c r="N394" s="17" t="str">
        <f t="shared" si="24"/>
        <v/>
      </c>
      <c r="O394" s="17" t="str">
        <f t="shared" si="25"/>
        <v/>
      </c>
      <c r="P394" s="17" t="str">
        <f>IF($A394="","",IF($L394&lt;&gt;"",$L394,Settings!$C$3)-INT($B394))</f>
        <v/>
      </c>
      <c r="Q394" s="17" t="str">
        <f>IF($O394&lt;&gt;"Open","",Settings!$C$3-IF($J394&lt;&gt;"",$J394,INT($B394)))</f>
        <v/>
      </c>
      <c r="R394" s="17" t="str">
        <f>IF($A394="","",IF($O394="Closed","Closed",IF($F394="Unassigned","Unassigned",IF(AND($K394&lt;&gt;"",$K394&lt;Settings!$C$3),"Overdue",IF($Q394&gt;=Settings!$C$4,"Inactive","On Track")))))</f>
        <v/>
      </c>
      <c r="S394" s="17" t="str">
        <f t="shared" si="26"/>
        <v/>
      </c>
      <c r="T394" s="36" t="str">
        <f t="shared" si="27"/>
        <v/>
      </c>
      <c r="U394" s="33">
        <f>IF(AND($O394="Open",OR(Dashboard!$D$3="All",$F394=Dashboard!$D$3)),$H394+ROW()/100000,0)</f>
        <v>0</v>
      </c>
    </row>
    <row r="395" spans="2:21" x14ac:dyDescent="0.25">
      <c r="B395" s="37"/>
      <c r="H395" s="38"/>
      <c r="I395" s="37"/>
      <c r="J395" s="39"/>
      <c r="K395" s="39"/>
      <c r="L395" s="39"/>
      <c r="N395" s="17" t="str">
        <f t="shared" si="24"/>
        <v/>
      </c>
      <c r="O395" s="17" t="str">
        <f t="shared" si="25"/>
        <v/>
      </c>
      <c r="P395" s="17" t="str">
        <f>IF($A395="","",IF($L395&lt;&gt;"",$L395,Settings!$C$3)-INT($B395))</f>
        <v/>
      </c>
      <c r="Q395" s="17" t="str">
        <f>IF($O395&lt;&gt;"Open","",Settings!$C$3-IF($J395&lt;&gt;"",$J395,INT($B395)))</f>
        <v/>
      </c>
      <c r="R395" s="17" t="str">
        <f>IF($A395="","",IF($O395="Closed","Closed",IF($F395="Unassigned","Unassigned",IF(AND($K395&lt;&gt;"",$K395&lt;Settings!$C$3),"Overdue",IF($Q395&gt;=Settings!$C$4,"Inactive","On Track")))))</f>
        <v/>
      </c>
      <c r="S395" s="17" t="str">
        <f t="shared" si="26"/>
        <v/>
      </c>
      <c r="T395" s="36" t="str">
        <f t="shared" si="27"/>
        <v/>
      </c>
      <c r="U395" s="33">
        <f>IF(AND($O395="Open",OR(Dashboard!$D$3="All",$F395=Dashboard!$D$3)),$H395+ROW()/100000,0)</f>
        <v>0</v>
      </c>
    </row>
    <row r="396" spans="2:21" x14ac:dyDescent="0.25">
      <c r="B396" s="37"/>
      <c r="H396" s="38"/>
      <c r="I396" s="37"/>
      <c r="J396" s="39"/>
      <c r="K396" s="39"/>
      <c r="L396" s="39"/>
      <c r="N396" s="17" t="str">
        <f t="shared" si="24"/>
        <v/>
      </c>
      <c r="O396" s="17" t="str">
        <f t="shared" si="25"/>
        <v/>
      </c>
      <c r="P396" s="17" t="str">
        <f>IF($A396="","",IF($L396&lt;&gt;"",$L396,Settings!$C$3)-INT($B396))</f>
        <v/>
      </c>
      <c r="Q396" s="17" t="str">
        <f>IF($O396&lt;&gt;"Open","",Settings!$C$3-IF($J396&lt;&gt;"",$J396,INT($B396)))</f>
        <v/>
      </c>
      <c r="R396" s="17" t="str">
        <f>IF($A396="","",IF($O396="Closed","Closed",IF($F396="Unassigned","Unassigned",IF(AND($K396&lt;&gt;"",$K396&lt;Settings!$C$3),"Overdue",IF($Q396&gt;=Settings!$C$4,"Inactive","On Track")))))</f>
        <v/>
      </c>
      <c r="S396" s="17" t="str">
        <f t="shared" si="26"/>
        <v/>
      </c>
      <c r="T396" s="36" t="str">
        <f t="shared" si="27"/>
        <v/>
      </c>
      <c r="U396" s="33">
        <f>IF(AND($O396="Open",OR(Dashboard!$D$3="All",$F396=Dashboard!$D$3)),$H396+ROW()/100000,0)</f>
        <v>0</v>
      </c>
    </row>
    <row r="397" spans="2:21" x14ac:dyDescent="0.25">
      <c r="B397" s="37"/>
      <c r="H397" s="38"/>
      <c r="I397" s="37"/>
      <c r="J397" s="39"/>
      <c r="K397" s="39"/>
      <c r="L397" s="39"/>
      <c r="N397" s="17" t="str">
        <f t="shared" si="24"/>
        <v/>
      </c>
      <c r="O397" s="17" t="str">
        <f t="shared" si="25"/>
        <v/>
      </c>
      <c r="P397" s="17" t="str">
        <f>IF($A397="","",IF($L397&lt;&gt;"",$L397,Settings!$C$3)-INT($B397))</f>
        <v/>
      </c>
      <c r="Q397" s="17" t="str">
        <f>IF($O397&lt;&gt;"Open","",Settings!$C$3-IF($J397&lt;&gt;"",$J397,INT($B397)))</f>
        <v/>
      </c>
      <c r="R397" s="17" t="str">
        <f>IF($A397="","",IF($O397="Closed","Closed",IF($F397="Unassigned","Unassigned",IF(AND($K397&lt;&gt;"",$K397&lt;Settings!$C$3),"Overdue",IF($Q397&gt;=Settings!$C$4,"Inactive","On Track")))))</f>
        <v/>
      </c>
      <c r="S397" s="17" t="str">
        <f t="shared" si="26"/>
        <v/>
      </c>
      <c r="T397" s="36" t="str">
        <f t="shared" si="27"/>
        <v/>
      </c>
      <c r="U397" s="33">
        <f>IF(AND($O397="Open",OR(Dashboard!$D$3="All",$F397=Dashboard!$D$3)),$H397+ROW()/100000,0)</f>
        <v>0</v>
      </c>
    </row>
    <row r="398" spans="2:21" x14ac:dyDescent="0.25">
      <c r="B398" s="37"/>
      <c r="H398" s="38"/>
      <c r="I398" s="37"/>
      <c r="J398" s="39"/>
      <c r="K398" s="39"/>
      <c r="L398" s="39"/>
      <c r="N398" s="17" t="str">
        <f t="shared" si="24"/>
        <v/>
      </c>
      <c r="O398" s="17" t="str">
        <f t="shared" si="25"/>
        <v/>
      </c>
      <c r="P398" s="17" t="str">
        <f>IF($A398="","",IF($L398&lt;&gt;"",$L398,Settings!$C$3)-INT($B398))</f>
        <v/>
      </c>
      <c r="Q398" s="17" t="str">
        <f>IF($O398&lt;&gt;"Open","",Settings!$C$3-IF($J398&lt;&gt;"",$J398,INT($B398)))</f>
        <v/>
      </c>
      <c r="R398" s="17" t="str">
        <f>IF($A398="","",IF($O398="Closed","Closed",IF($F398="Unassigned","Unassigned",IF(AND($K398&lt;&gt;"",$K398&lt;Settings!$C$3),"Overdue",IF($Q398&gt;=Settings!$C$4,"Inactive","On Track")))))</f>
        <v/>
      </c>
      <c r="S398" s="17" t="str">
        <f t="shared" si="26"/>
        <v/>
      </c>
      <c r="T398" s="36" t="str">
        <f t="shared" si="27"/>
        <v/>
      </c>
      <c r="U398" s="33">
        <f>IF(AND($O398="Open",OR(Dashboard!$D$3="All",$F398=Dashboard!$D$3)),$H398+ROW()/100000,0)</f>
        <v>0</v>
      </c>
    </row>
    <row r="399" spans="2:21" x14ac:dyDescent="0.25">
      <c r="B399" s="37"/>
      <c r="H399" s="38"/>
      <c r="I399" s="37"/>
      <c r="J399" s="39"/>
      <c r="K399" s="39"/>
      <c r="L399" s="39"/>
      <c r="N399" s="17" t="str">
        <f t="shared" si="24"/>
        <v/>
      </c>
      <c r="O399" s="17" t="str">
        <f t="shared" si="25"/>
        <v/>
      </c>
      <c r="P399" s="17" t="str">
        <f>IF($A399="","",IF($L399&lt;&gt;"",$L399,Settings!$C$3)-INT($B399))</f>
        <v/>
      </c>
      <c r="Q399" s="17" t="str">
        <f>IF($O399&lt;&gt;"Open","",Settings!$C$3-IF($J399&lt;&gt;"",$J399,INT($B399)))</f>
        <v/>
      </c>
      <c r="R399" s="17" t="str">
        <f>IF($A399="","",IF($O399="Closed","Closed",IF($F399="Unassigned","Unassigned",IF(AND($K399&lt;&gt;"",$K399&lt;Settings!$C$3),"Overdue",IF($Q399&gt;=Settings!$C$4,"Inactive","On Track")))))</f>
        <v/>
      </c>
      <c r="S399" s="17" t="str">
        <f t="shared" si="26"/>
        <v/>
      </c>
      <c r="T399" s="36" t="str">
        <f t="shared" si="27"/>
        <v/>
      </c>
      <c r="U399" s="33">
        <f>IF(AND($O399="Open",OR(Dashboard!$D$3="All",$F399=Dashboard!$D$3)),$H399+ROW()/100000,0)</f>
        <v>0</v>
      </c>
    </row>
    <row r="400" spans="2:21" x14ac:dyDescent="0.25">
      <c r="B400" s="37"/>
      <c r="H400" s="38"/>
      <c r="I400" s="37"/>
      <c r="J400" s="39"/>
      <c r="K400" s="39"/>
      <c r="L400" s="39"/>
      <c r="N400" s="17" t="str">
        <f t="shared" si="24"/>
        <v/>
      </c>
      <c r="O400" s="17" t="str">
        <f t="shared" si="25"/>
        <v/>
      </c>
      <c r="P400" s="17" t="str">
        <f>IF($A400="","",IF($L400&lt;&gt;"",$L400,Settings!$C$3)-INT($B400))</f>
        <v/>
      </c>
      <c r="Q400" s="17" t="str">
        <f>IF($O400&lt;&gt;"Open","",Settings!$C$3-IF($J400&lt;&gt;"",$J400,INT($B400)))</f>
        <v/>
      </c>
      <c r="R400" s="17" t="str">
        <f>IF($A400="","",IF($O400="Closed","Closed",IF($F400="Unassigned","Unassigned",IF(AND($K400&lt;&gt;"",$K400&lt;Settings!$C$3),"Overdue",IF($Q400&gt;=Settings!$C$4,"Inactive","On Track")))))</f>
        <v/>
      </c>
      <c r="S400" s="17" t="str">
        <f t="shared" si="26"/>
        <v/>
      </c>
      <c r="T400" s="36" t="str">
        <f t="shared" si="27"/>
        <v/>
      </c>
      <c r="U400" s="33">
        <f>IF(AND($O400="Open",OR(Dashboard!$D$3="All",$F400=Dashboard!$D$3)),$H400+ROW()/100000,0)</f>
        <v>0</v>
      </c>
    </row>
    <row r="401" spans="2:21" x14ac:dyDescent="0.25">
      <c r="B401" s="37"/>
      <c r="H401" s="38"/>
      <c r="I401" s="37"/>
      <c r="J401" s="39"/>
      <c r="K401" s="39"/>
      <c r="L401" s="39"/>
      <c r="N401" s="17" t="str">
        <f t="shared" si="24"/>
        <v/>
      </c>
      <c r="O401" s="17" t="str">
        <f t="shared" si="25"/>
        <v/>
      </c>
      <c r="P401" s="17" t="str">
        <f>IF($A401="","",IF($L401&lt;&gt;"",$L401,Settings!$C$3)-INT($B401))</f>
        <v/>
      </c>
      <c r="Q401" s="17" t="str">
        <f>IF($O401&lt;&gt;"Open","",Settings!$C$3-IF($J401&lt;&gt;"",$J401,INT($B401)))</f>
        <v/>
      </c>
      <c r="R401" s="17" t="str">
        <f>IF($A401="","",IF($O401="Closed","Closed",IF($F401="Unassigned","Unassigned",IF(AND($K401&lt;&gt;"",$K401&lt;Settings!$C$3),"Overdue",IF($Q401&gt;=Settings!$C$4,"Inactive","On Track")))))</f>
        <v/>
      </c>
      <c r="S401" s="17" t="str">
        <f t="shared" si="26"/>
        <v/>
      </c>
      <c r="T401" s="36" t="str">
        <f t="shared" si="27"/>
        <v/>
      </c>
      <c r="U401" s="33">
        <f>IF(AND($O401="Open",OR(Dashboard!$D$3="All",$F401=Dashboard!$D$3)),$H401+ROW()/100000,0)</f>
        <v>0</v>
      </c>
    </row>
    <row r="402" spans="2:21" x14ac:dyDescent="0.25">
      <c r="B402" s="37"/>
      <c r="H402" s="38"/>
      <c r="I402" s="37"/>
      <c r="J402" s="39"/>
      <c r="K402" s="39"/>
      <c r="L402" s="39"/>
      <c r="N402" s="17" t="str">
        <f t="shared" si="24"/>
        <v/>
      </c>
      <c r="O402" s="17" t="str">
        <f t="shared" si="25"/>
        <v/>
      </c>
      <c r="P402" s="17" t="str">
        <f>IF($A402="","",IF($L402&lt;&gt;"",$L402,Settings!$C$3)-INT($B402))</f>
        <v/>
      </c>
      <c r="Q402" s="17" t="str">
        <f>IF($O402&lt;&gt;"Open","",Settings!$C$3-IF($J402&lt;&gt;"",$J402,INT($B402)))</f>
        <v/>
      </c>
      <c r="R402" s="17" t="str">
        <f>IF($A402="","",IF($O402="Closed","Closed",IF($F402="Unassigned","Unassigned",IF(AND($K402&lt;&gt;"",$K402&lt;Settings!$C$3),"Overdue",IF($Q402&gt;=Settings!$C$4,"Inactive","On Track")))))</f>
        <v/>
      </c>
      <c r="S402" s="17" t="str">
        <f t="shared" si="26"/>
        <v/>
      </c>
      <c r="T402" s="36" t="str">
        <f t="shared" si="27"/>
        <v/>
      </c>
      <c r="U402" s="33">
        <f>IF(AND($O402="Open",OR(Dashboard!$D$3="All",$F402=Dashboard!$D$3)),$H402+ROW()/100000,0)</f>
        <v>0</v>
      </c>
    </row>
    <row r="403" spans="2:21" x14ac:dyDescent="0.25">
      <c r="B403" s="37"/>
      <c r="H403" s="38"/>
      <c r="I403" s="37"/>
      <c r="J403" s="39"/>
      <c r="K403" s="39"/>
      <c r="L403" s="39"/>
      <c r="N403" s="17" t="str">
        <f t="shared" si="24"/>
        <v/>
      </c>
      <c r="O403" s="17" t="str">
        <f t="shared" si="25"/>
        <v/>
      </c>
      <c r="P403" s="17" t="str">
        <f>IF($A403="","",IF($L403&lt;&gt;"",$L403,Settings!$C$3)-INT($B403))</f>
        <v/>
      </c>
      <c r="Q403" s="17" t="str">
        <f>IF($O403&lt;&gt;"Open","",Settings!$C$3-IF($J403&lt;&gt;"",$J403,INT($B403)))</f>
        <v/>
      </c>
      <c r="R403" s="17" t="str">
        <f>IF($A403="","",IF($O403="Closed","Closed",IF($F403="Unassigned","Unassigned",IF(AND($K403&lt;&gt;"",$K403&lt;Settings!$C$3),"Overdue",IF($Q403&gt;=Settings!$C$4,"Inactive","On Track")))))</f>
        <v/>
      </c>
      <c r="S403" s="17" t="str">
        <f t="shared" si="26"/>
        <v/>
      </c>
      <c r="T403" s="36" t="str">
        <f t="shared" si="27"/>
        <v/>
      </c>
      <c r="U403" s="33">
        <f>IF(AND($O403="Open",OR(Dashboard!$D$3="All",$F403=Dashboard!$D$3)),$H403+ROW()/100000,0)</f>
        <v>0</v>
      </c>
    </row>
    <row r="404" spans="2:21" x14ac:dyDescent="0.25">
      <c r="B404" s="37"/>
      <c r="H404" s="38"/>
      <c r="I404" s="37"/>
      <c r="J404" s="39"/>
      <c r="K404" s="39"/>
      <c r="L404" s="39"/>
      <c r="N404" s="17" t="str">
        <f t="shared" si="24"/>
        <v/>
      </c>
      <c r="O404" s="17" t="str">
        <f t="shared" si="25"/>
        <v/>
      </c>
      <c r="P404" s="17" t="str">
        <f>IF($A404="","",IF($L404&lt;&gt;"",$L404,Settings!$C$3)-INT($B404))</f>
        <v/>
      </c>
      <c r="Q404" s="17" t="str">
        <f>IF($O404&lt;&gt;"Open","",Settings!$C$3-IF($J404&lt;&gt;"",$J404,INT($B404)))</f>
        <v/>
      </c>
      <c r="R404" s="17" t="str">
        <f>IF($A404="","",IF($O404="Closed","Closed",IF($F404="Unassigned","Unassigned",IF(AND($K404&lt;&gt;"",$K404&lt;Settings!$C$3),"Overdue",IF($Q404&gt;=Settings!$C$4,"Inactive","On Track")))))</f>
        <v/>
      </c>
      <c r="S404" s="17" t="str">
        <f t="shared" si="26"/>
        <v/>
      </c>
      <c r="T404" s="36" t="str">
        <f t="shared" si="27"/>
        <v/>
      </c>
      <c r="U404" s="33">
        <f>IF(AND($O404="Open",OR(Dashboard!$D$3="All",$F404=Dashboard!$D$3)),$H404+ROW()/100000,0)</f>
        <v>0</v>
      </c>
    </row>
    <row r="405" spans="2:21" x14ac:dyDescent="0.25">
      <c r="B405" s="37"/>
      <c r="H405" s="38"/>
      <c r="I405" s="37"/>
      <c r="J405" s="39"/>
      <c r="K405" s="39"/>
      <c r="L405" s="39"/>
      <c r="N405" s="17" t="str">
        <f t="shared" si="24"/>
        <v/>
      </c>
      <c r="O405" s="17" t="str">
        <f t="shared" si="25"/>
        <v/>
      </c>
      <c r="P405" s="17" t="str">
        <f>IF($A405="","",IF($L405&lt;&gt;"",$L405,Settings!$C$3)-INT($B405))</f>
        <v/>
      </c>
      <c r="Q405" s="17" t="str">
        <f>IF($O405&lt;&gt;"Open","",Settings!$C$3-IF($J405&lt;&gt;"",$J405,INT($B405)))</f>
        <v/>
      </c>
      <c r="R405" s="17" t="str">
        <f>IF($A405="","",IF($O405="Closed","Closed",IF($F405="Unassigned","Unassigned",IF(AND($K405&lt;&gt;"",$K405&lt;Settings!$C$3),"Overdue",IF($Q405&gt;=Settings!$C$4,"Inactive","On Track")))))</f>
        <v/>
      </c>
      <c r="S405" s="17" t="str">
        <f t="shared" si="26"/>
        <v/>
      </c>
      <c r="T405" s="36" t="str">
        <f t="shared" si="27"/>
        <v/>
      </c>
      <c r="U405" s="33">
        <f>IF(AND($O405="Open",OR(Dashboard!$D$3="All",$F405=Dashboard!$D$3)),$H405+ROW()/100000,0)</f>
        <v>0</v>
      </c>
    </row>
    <row r="406" spans="2:21" x14ac:dyDescent="0.25">
      <c r="B406" s="37"/>
      <c r="H406" s="38"/>
      <c r="I406" s="37"/>
      <c r="J406" s="39"/>
      <c r="K406" s="39"/>
      <c r="L406" s="39"/>
      <c r="N406" s="17" t="str">
        <f t="shared" si="24"/>
        <v/>
      </c>
      <c r="O406" s="17" t="str">
        <f t="shared" si="25"/>
        <v/>
      </c>
      <c r="P406" s="17" t="str">
        <f>IF($A406="","",IF($L406&lt;&gt;"",$L406,Settings!$C$3)-INT($B406))</f>
        <v/>
      </c>
      <c r="Q406" s="17" t="str">
        <f>IF($O406&lt;&gt;"Open","",Settings!$C$3-IF($J406&lt;&gt;"",$J406,INT($B406)))</f>
        <v/>
      </c>
      <c r="R406" s="17" t="str">
        <f>IF($A406="","",IF($O406="Closed","Closed",IF($F406="Unassigned","Unassigned",IF(AND($K406&lt;&gt;"",$K406&lt;Settings!$C$3),"Overdue",IF($Q406&gt;=Settings!$C$4,"Inactive","On Track")))))</f>
        <v/>
      </c>
      <c r="S406" s="17" t="str">
        <f t="shared" si="26"/>
        <v/>
      </c>
      <c r="T406" s="36" t="str">
        <f t="shared" si="27"/>
        <v/>
      </c>
      <c r="U406" s="33">
        <f>IF(AND($O406="Open",OR(Dashboard!$D$3="All",$F406=Dashboard!$D$3)),$H406+ROW()/100000,0)</f>
        <v>0</v>
      </c>
    </row>
    <row r="407" spans="2:21" x14ac:dyDescent="0.25">
      <c r="B407" s="37"/>
      <c r="H407" s="38"/>
      <c r="I407" s="37"/>
      <c r="J407" s="39"/>
      <c r="K407" s="39"/>
      <c r="L407" s="39"/>
      <c r="N407" s="17" t="str">
        <f t="shared" si="24"/>
        <v/>
      </c>
      <c r="O407" s="17" t="str">
        <f t="shared" si="25"/>
        <v/>
      </c>
      <c r="P407" s="17" t="str">
        <f>IF($A407="","",IF($L407&lt;&gt;"",$L407,Settings!$C$3)-INT($B407))</f>
        <v/>
      </c>
      <c r="Q407" s="17" t="str">
        <f>IF($O407&lt;&gt;"Open","",Settings!$C$3-IF($J407&lt;&gt;"",$J407,INT($B407)))</f>
        <v/>
      </c>
      <c r="R407" s="17" t="str">
        <f>IF($A407="","",IF($O407="Closed","Closed",IF($F407="Unassigned","Unassigned",IF(AND($K407&lt;&gt;"",$K407&lt;Settings!$C$3),"Overdue",IF($Q407&gt;=Settings!$C$4,"Inactive","On Track")))))</f>
        <v/>
      </c>
      <c r="S407" s="17" t="str">
        <f t="shared" si="26"/>
        <v/>
      </c>
      <c r="T407" s="36" t="str">
        <f t="shared" si="27"/>
        <v/>
      </c>
      <c r="U407" s="33">
        <f>IF(AND($O407="Open",OR(Dashboard!$D$3="All",$F407=Dashboard!$D$3)),$H407+ROW()/100000,0)</f>
        <v>0</v>
      </c>
    </row>
    <row r="408" spans="2:21" x14ac:dyDescent="0.25">
      <c r="B408" s="37"/>
      <c r="H408" s="38"/>
      <c r="I408" s="37"/>
      <c r="J408" s="39"/>
      <c r="K408" s="39"/>
      <c r="L408" s="39"/>
      <c r="N408" s="17" t="str">
        <f t="shared" si="24"/>
        <v/>
      </c>
      <c r="O408" s="17" t="str">
        <f t="shared" si="25"/>
        <v/>
      </c>
      <c r="P408" s="17" t="str">
        <f>IF($A408="","",IF($L408&lt;&gt;"",$L408,Settings!$C$3)-INT($B408))</f>
        <v/>
      </c>
      <c r="Q408" s="17" t="str">
        <f>IF($O408&lt;&gt;"Open","",Settings!$C$3-IF($J408&lt;&gt;"",$J408,INT($B408)))</f>
        <v/>
      </c>
      <c r="R408" s="17" t="str">
        <f>IF($A408="","",IF($O408="Closed","Closed",IF($F408="Unassigned","Unassigned",IF(AND($K408&lt;&gt;"",$K408&lt;Settings!$C$3),"Overdue",IF($Q408&gt;=Settings!$C$4,"Inactive","On Track")))))</f>
        <v/>
      </c>
      <c r="S408" s="17" t="str">
        <f t="shared" si="26"/>
        <v/>
      </c>
      <c r="T408" s="36" t="str">
        <f t="shared" si="27"/>
        <v/>
      </c>
      <c r="U408" s="33">
        <f>IF(AND($O408="Open",OR(Dashboard!$D$3="All",$F408=Dashboard!$D$3)),$H408+ROW()/100000,0)</f>
        <v>0</v>
      </c>
    </row>
    <row r="409" spans="2:21" x14ac:dyDescent="0.25">
      <c r="B409" s="37"/>
      <c r="H409" s="38"/>
      <c r="I409" s="37"/>
      <c r="J409" s="39"/>
      <c r="K409" s="39"/>
      <c r="L409" s="39"/>
      <c r="N409" s="17" t="str">
        <f t="shared" si="24"/>
        <v/>
      </c>
      <c r="O409" s="17" t="str">
        <f t="shared" si="25"/>
        <v/>
      </c>
      <c r="P409" s="17" t="str">
        <f>IF($A409="","",IF($L409&lt;&gt;"",$L409,Settings!$C$3)-INT($B409))</f>
        <v/>
      </c>
      <c r="Q409" s="17" t="str">
        <f>IF($O409&lt;&gt;"Open","",Settings!$C$3-IF($J409&lt;&gt;"",$J409,INT($B409)))</f>
        <v/>
      </c>
      <c r="R409" s="17" t="str">
        <f>IF($A409="","",IF($O409="Closed","Closed",IF($F409="Unassigned","Unassigned",IF(AND($K409&lt;&gt;"",$K409&lt;Settings!$C$3),"Overdue",IF($Q409&gt;=Settings!$C$4,"Inactive","On Track")))))</f>
        <v/>
      </c>
      <c r="S409" s="17" t="str">
        <f t="shared" si="26"/>
        <v/>
      </c>
      <c r="T409" s="36" t="str">
        <f t="shared" si="27"/>
        <v/>
      </c>
      <c r="U409" s="33">
        <f>IF(AND($O409="Open",OR(Dashboard!$D$3="All",$F409=Dashboard!$D$3)),$H409+ROW()/100000,0)</f>
        <v>0</v>
      </c>
    </row>
    <row r="410" spans="2:21" x14ac:dyDescent="0.25">
      <c r="B410" s="37"/>
      <c r="H410" s="38"/>
      <c r="I410" s="37"/>
      <c r="J410" s="39"/>
      <c r="K410" s="39"/>
      <c r="L410" s="39"/>
      <c r="N410" s="17" t="str">
        <f t="shared" si="24"/>
        <v/>
      </c>
      <c r="O410" s="17" t="str">
        <f t="shared" si="25"/>
        <v/>
      </c>
      <c r="P410" s="17" t="str">
        <f>IF($A410="","",IF($L410&lt;&gt;"",$L410,Settings!$C$3)-INT($B410))</f>
        <v/>
      </c>
      <c r="Q410" s="17" t="str">
        <f>IF($O410&lt;&gt;"Open","",Settings!$C$3-IF($J410&lt;&gt;"",$J410,INT($B410)))</f>
        <v/>
      </c>
      <c r="R410" s="17" t="str">
        <f>IF($A410="","",IF($O410="Closed","Closed",IF($F410="Unassigned","Unassigned",IF(AND($K410&lt;&gt;"",$K410&lt;Settings!$C$3),"Overdue",IF($Q410&gt;=Settings!$C$4,"Inactive","On Track")))))</f>
        <v/>
      </c>
      <c r="S410" s="17" t="str">
        <f t="shared" si="26"/>
        <v/>
      </c>
      <c r="T410" s="36" t="str">
        <f t="shared" si="27"/>
        <v/>
      </c>
      <c r="U410" s="33">
        <f>IF(AND($O410="Open",OR(Dashboard!$D$3="All",$F410=Dashboard!$D$3)),$H410+ROW()/100000,0)</f>
        <v>0</v>
      </c>
    </row>
    <row r="411" spans="2:21" x14ac:dyDescent="0.25">
      <c r="B411" s="37"/>
      <c r="H411" s="38"/>
      <c r="I411" s="37"/>
      <c r="J411" s="39"/>
      <c r="K411" s="39"/>
      <c r="L411" s="39"/>
      <c r="N411" s="17" t="str">
        <f t="shared" si="24"/>
        <v/>
      </c>
      <c r="O411" s="17" t="str">
        <f t="shared" si="25"/>
        <v/>
      </c>
      <c r="P411" s="17" t="str">
        <f>IF($A411="","",IF($L411&lt;&gt;"",$L411,Settings!$C$3)-INT($B411))</f>
        <v/>
      </c>
      <c r="Q411" s="17" t="str">
        <f>IF($O411&lt;&gt;"Open","",Settings!$C$3-IF($J411&lt;&gt;"",$J411,INT($B411)))</f>
        <v/>
      </c>
      <c r="R411" s="17" t="str">
        <f>IF($A411="","",IF($O411="Closed","Closed",IF($F411="Unassigned","Unassigned",IF(AND($K411&lt;&gt;"",$K411&lt;Settings!$C$3),"Overdue",IF($Q411&gt;=Settings!$C$4,"Inactive","On Track")))))</f>
        <v/>
      </c>
      <c r="S411" s="17" t="str">
        <f t="shared" si="26"/>
        <v/>
      </c>
      <c r="T411" s="36" t="str">
        <f t="shared" si="27"/>
        <v/>
      </c>
      <c r="U411" s="33">
        <f>IF(AND($O411="Open",OR(Dashboard!$D$3="All",$F411=Dashboard!$D$3)),$H411+ROW()/100000,0)</f>
        <v>0</v>
      </c>
    </row>
    <row r="412" spans="2:21" x14ac:dyDescent="0.25">
      <c r="B412" s="37"/>
      <c r="H412" s="38"/>
      <c r="I412" s="37"/>
      <c r="J412" s="39"/>
      <c r="K412" s="39"/>
      <c r="L412" s="39"/>
      <c r="N412" s="17" t="str">
        <f t="shared" si="24"/>
        <v/>
      </c>
      <c r="O412" s="17" t="str">
        <f t="shared" si="25"/>
        <v/>
      </c>
      <c r="P412" s="17" t="str">
        <f>IF($A412="","",IF($L412&lt;&gt;"",$L412,Settings!$C$3)-INT($B412))</f>
        <v/>
      </c>
      <c r="Q412" s="17" t="str">
        <f>IF($O412&lt;&gt;"Open","",Settings!$C$3-IF($J412&lt;&gt;"",$J412,INT($B412)))</f>
        <v/>
      </c>
      <c r="R412" s="17" t="str">
        <f>IF($A412="","",IF($O412="Closed","Closed",IF($F412="Unassigned","Unassigned",IF(AND($K412&lt;&gt;"",$K412&lt;Settings!$C$3),"Overdue",IF($Q412&gt;=Settings!$C$4,"Inactive","On Track")))))</f>
        <v/>
      </c>
      <c r="S412" s="17" t="str">
        <f t="shared" si="26"/>
        <v/>
      </c>
      <c r="T412" s="36" t="str">
        <f t="shared" si="27"/>
        <v/>
      </c>
      <c r="U412" s="33">
        <f>IF(AND($O412="Open",OR(Dashboard!$D$3="All",$F412=Dashboard!$D$3)),$H412+ROW()/100000,0)</f>
        <v>0</v>
      </c>
    </row>
    <row r="413" spans="2:21" x14ac:dyDescent="0.25">
      <c r="B413" s="37"/>
      <c r="H413" s="38"/>
      <c r="I413" s="37"/>
      <c r="J413" s="39"/>
      <c r="K413" s="39"/>
      <c r="L413" s="39"/>
      <c r="N413" s="17" t="str">
        <f t="shared" si="24"/>
        <v/>
      </c>
      <c r="O413" s="17" t="str">
        <f t="shared" si="25"/>
        <v/>
      </c>
      <c r="P413" s="17" t="str">
        <f>IF($A413="","",IF($L413&lt;&gt;"",$L413,Settings!$C$3)-INT($B413))</f>
        <v/>
      </c>
      <c r="Q413" s="17" t="str">
        <f>IF($O413&lt;&gt;"Open","",Settings!$C$3-IF($J413&lt;&gt;"",$J413,INT($B413)))</f>
        <v/>
      </c>
      <c r="R413" s="17" t="str">
        <f>IF($A413="","",IF($O413="Closed","Closed",IF($F413="Unassigned","Unassigned",IF(AND($K413&lt;&gt;"",$K413&lt;Settings!$C$3),"Overdue",IF($Q413&gt;=Settings!$C$4,"Inactive","On Track")))))</f>
        <v/>
      </c>
      <c r="S413" s="17" t="str">
        <f t="shared" si="26"/>
        <v/>
      </c>
      <c r="T413" s="36" t="str">
        <f t="shared" si="27"/>
        <v/>
      </c>
      <c r="U413" s="33">
        <f>IF(AND($O413="Open",OR(Dashboard!$D$3="All",$F413=Dashboard!$D$3)),$H413+ROW()/100000,0)</f>
        <v>0</v>
      </c>
    </row>
    <row r="414" spans="2:21" x14ac:dyDescent="0.25">
      <c r="B414" s="37"/>
      <c r="H414" s="38"/>
      <c r="I414" s="37"/>
      <c r="J414" s="39"/>
      <c r="K414" s="39"/>
      <c r="L414" s="39"/>
      <c r="N414" s="17" t="str">
        <f t="shared" si="24"/>
        <v/>
      </c>
      <c r="O414" s="17" t="str">
        <f t="shared" si="25"/>
        <v/>
      </c>
      <c r="P414" s="17" t="str">
        <f>IF($A414="","",IF($L414&lt;&gt;"",$L414,Settings!$C$3)-INT($B414))</f>
        <v/>
      </c>
      <c r="Q414" s="17" t="str">
        <f>IF($O414&lt;&gt;"Open","",Settings!$C$3-IF($J414&lt;&gt;"",$J414,INT($B414)))</f>
        <v/>
      </c>
      <c r="R414" s="17" t="str">
        <f>IF($A414="","",IF($O414="Closed","Closed",IF($F414="Unassigned","Unassigned",IF(AND($K414&lt;&gt;"",$K414&lt;Settings!$C$3),"Overdue",IF($Q414&gt;=Settings!$C$4,"Inactive","On Track")))))</f>
        <v/>
      </c>
      <c r="S414" s="17" t="str">
        <f t="shared" si="26"/>
        <v/>
      </c>
      <c r="T414" s="36" t="str">
        <f t="shared" si="27"/>
        <v/>
      </c>
      <c r="U414" s="33">
        <f>IF(AND($O414="Open",OR(Dashboard!$D$3="All",$F414=Dashboard!$D$3)),$H414+ROW()/100000,0)</f>
        <v>0</v>
      </c>
    </row>
    <row r="415" spans="2:21" x14ac:dyDescent="0.25">
      <c r="B415" s="37"/>
      <c r="H415" s="38"/>
      <c r="I415" s="37"/>
      <c r="J415" s="39"/>
      <c r="K415" s="39"/>
      <c r="L415" s="39"/>
      <c r="N415" s="17" t="str">
        <f t="shared" si="24"/>
        <v/>
      </c>
      <c r="O415" s="17" t="str">
        <f t="shared" si="25"/>
        <v/>
      </c>
      <c r="P415" s="17" t="str">
        <f>IF($A415="","",IF($L415&lt;&gt;"",$L415,Settings!$C$3)-INT($B415))</f>
        <v/>
      </c>
      <c r="Q415" s="17" t="str">
        <f>IF($O415&lt;&gt;"Open","",Settings!$C$3-IF($J415&lt;&gt;"",$J415,INT($B415)))</f>
        <v/>
      </c>
      <c r="R415" s="17" t="str">
        <f>IF($A415="","",IF($O415="Closed","Closed",IF($F415="Unassigned","Unassigned",IF(AND($K415&lt;&gt;"",$K415&lt;Settings!$C$3),"Overdue",IF($Q415&gt;=Settings!$C$4,"Inactive","On Track")))))</f>
        <v/>
      </c>
      <c r="S415" s="17" t="str">
        <f t="shared" si="26"/>
        <v/>
      </c>
      <c r="T415" s="36" t="str">
        <f t="shared" si="27"/>
        <v/>
      </c>
      <c r="U415" s="33">
        <f>IF(AND($O415="Open",OR(Dashboard!$D$3="All",$F415=Dashboard!$D$3)),$H415+ROW()/100000,0)</f>
        <v>0</v>
      </c>
    </row>
    <row r="416" spans="2:21" x14ac:dyDescent="0.25">
      <c r="B416" s="37"/>
      <c r="H416" s="38"/>
      <c r="I416" s="37"/>
      <c r="J416" s="39"/>
      <c r="K416" s="39"/>
      <c r="L416" s="39"/>
      <c r="N416" s="17" t="str">
        <f t="shared" si="24"/>
        <v/>
      </c>
      <c r="O416" s="17" t="str">
        <f t="shared" si="25"/>
        <v/>
      </c>
      <c r="P416" s="17" t="str">
        <f>IF($A416="","",IF($L416&lt;&gt;"",$L416,Settings!$C$3)-INT($B416))</f>
        <v/>
      </c>
      <c r="Q416" s="17" t="str">
        <f>IF($O416&lt;&gt;"Open","",Settings!$C$3-IF($J416&lt;&gt;"",$J416,INT($B416)))</f>
        <v/>
      </c>
      <c r="R416" s="17" t="str">
        <f>IF($A416="","",IF($O416="Closed","Closed",IF($F416="Unassigned","Unassigned",IF(AND($K416&lt;&gt;"",$K416&lt;Settings!$C$3),"Overdue",IF($Q416&gt;=Settings!$C$4,"Inactive","On Track")))))</f>
        <v/>
      </c>
      <c r="S416" s="17" t="str">
        <f t="shared" si="26"/>
        <v/>
      </c>
      <c r="T416" s="36" t="str">
        <f t="shared" si="27"/>
        <v/>
      </c>
      <c r="U416" s="33">
        <f>IF(AND($O416="Open",OR(Dashboard!$D$3="All",$F416=Dashboard!$D$3)),$H416+ROW()/100000,0)</f>
        <v>0</v>
      </c>
    </row>
    <row r="417" spans="2:21" x14ac:dyDescent="0.25">
      <c r="B417" s="37"/>
      <c r="H417" s="38"/>
      <c r="I417" s="37"/>
      <c r="J417" s="39"/>
      <c r="K417" s="39"/>
      <c r="L417" s="39"/>
      <c r="N417" s="17" t="str">
        <f t="shared" si="24"/>
        <v/>
      </c>
      <c r="O417" s="17" t="str">
        <f t="shared" si="25"/>
        <v/>
      </c>
      <c r="P417" s="17" t="str">
        <f>IF($A417="","",IF($L417&lt;&gt;"",$L417,Settings!$C$3)-INT($B417))</f>
        <v/>
      </c>
      <c r="Q417" s="17" t="str">
        <f>IF($O417&lt;&gt;"Open","",Settings!$C$3-IF($J417&lt;&gt;"",$J417,INT($B417)))</f>
        <v/>
      </c>
      <c r="R417" s="17" t="str">
        <f>IF($A417="","",IF($O417="Closed","Closed",IF($F417="Unassigned","Unassigned",IF(AND($K417&lt;&gt;"",$K417&lt;Settings!$C$3),"Overdue",IF($Q417&gt;=Settings!$C$4,"Inactive","On Track")))))</f>
        <v/>
      </c>
      <c r="S417" s="17" t="str">
        <f t="shared" si="26"/>
        <v/>
      </c>
      <c r="T417" s="36" t="str">
        <f t="shared" si="27"/>
        <v/>
      </c>
      <c r="U417" s="33">
        <f>IF(AND($O417="Open",OR(Dashboard!$D$3="All",$F417=Dashboard!$D$3)),$H417+ROW()/100000,0)</f>
        <v>0</v>
      </c>
    </row>
    <row r="418" spans="2:21" x14ac:dyDescent="0.25">
      <c r="B418" s="37"/>
      <c r="H418" s="38"/>
      <c r="I418" s="37"/>
      <c r="J418" s="39"/>
      <c r="K418" s="39"/>
      <c r="L418" s="39"/>
      <c r="N418" s="17" t="str">
        <f t="shared" si="24"/>
        <v/>
      </c>
      <c r="O418" s="17" t="str">
        <f t="shared" si="25"/>
        <v/>
      </c>
      <c r="P418" s="17" t="str">
        <f>IF($A418="","",IF($L418&lt;&gt;"",$L418,Settings!$C$3)-INT($B418))</f>
        <v/>
      </c>
      <c r="Q418" s="17" t="str">
        <f>IF($O418&lt;&gt;"Open","",Settings!$C$3-IF($J418&lt;&gt;"",$J418,INT($B418)))</f>
        <v/>
      </c>
      <c r="R418" s="17" t="str">
        <f>IF($A418="","",IF($O418="Closed","Closed",IF($F418="Unassigned","Unassigned",IF(AND($K418&lt;&gt;"",$K418&lt;Settings!$C$3),"Overdue",IF($Q418&gt;=Settings!$C$4,"Inactive","On Track")))))</f>
        <v/>
      </c>
      <c r="S418" s="17" t="str">
        <f t="shared" si="26"/>
        <v/>
      </c>
      <c r="T418" s="36" t="str">
        <f t="shared" si="27"/>
        <v/>
      </c>
      <c r="U418" s="33">
        <f>IF(AND($O418="Open",OR(Dashboard!$D$3="All",$F418=Dashboard!$D$3)),$H418+ROW()/100000,0)</f>
        <v>0</v>
      </c>
    </row>
    <row r="419" spans="2:21" x14ac:dyDescent="0.25">
      <c r="B419" s="37"/>
      <c r="H419" s="38"/>
      <c r="I419" s="37"/>
      <c r="J419" s="39"/>
      <c r="K419" s="39"/>
      <c r="L419" s="39"/>
      <c r="N419" s="17" t="str">
        <f t="shared" si="24"/>
        <v/>
      </c>
      <c r="O419" s="17" t="str">
        <f t="shared" si="25"/>
        <v/>
      </c>
      <c r="P419" s="17" t="str">
        <f>IF($A419="","",IF($L419&lt;&gt;"",$L419,Settings!$C$3)-INT($B419))</f>
        <v/>
      </c>
      <c r="Q419" s="17" t="str">
        <f>IF($O419&lt;&gt;"Open","",Settings!$C$3-IF($J419&lt;&gt;"",$J419,INT($B419)))</f>
        <v/>
      </c>
      <c r="R419" s="17" t="str">
        <f>IF($A419="","",IF($O419="Closed","Closed",IF($F419="Unassigned","Unassigned",IF(AND($K419&lt;&gt;"",$K419&lt;Settings!$C$3),"Overdue",IF($Q419&gt;=Settings!$C$4,"Inactive","On Track")))))</f>
        <v/>
      </c>
      <c r="S419" s="17" t="str">
        <f t="shared" si="26"/>
        <v/>
      </c>
      <c r="T419" s="36" t="str">
        <f t="shared" si="27"/>
        <v/>
      </c>
      <c r="U419" s="33">
        <f>IF(AND($O419="Open",OR(Dashboard!$D$3="All",$F419=Dashboard!$D$3)),$H419+ROW()/100000,0)</f>
        <v>0</v>
      </c>
    </row>
    <row r="420" spans="2:21" x14ac:dyDescent="0.25">
      <c r="B420" s="37"/>
      <c r="H420" s="38"/>
      <c r="I420" s="37"/>
      <c r="J420" s="39"/>
      <c r="K420" s="39"/>
      <c r="L420" s="39"/>
      <c r="N420" s="17" t="str">
        <f t="shared" si="24"/>
        <v/>
      </c>
      <c r="O420" s="17" t="str">
        <f t="shared" si="25"/>
        <v/>
      </c>
      <c r="P420" s="17" t="str">
        <f>IF($A420="","",IF($L420&lt;&gt;"",$L420,Settings!$C$3)-INT($B420))</f>
        <v/>
      </c>
      <c r="Q420" s="17" t="str">
        <f>IF($O420&lt;&gt;"Open","",Settings!$C$3-IF($J420&lt;&gt;"",$J420,INT($B420)))</f>
        <v/>
      </c>
      <c r="R420" s="17" t="str">
        <f>IF($A420="","",IF($O420="Closed","Closed",IF($F420="Unassigned","Unassigned",IF(AND($K420&lt;&gt;"",$K420&lt;Settings!$C$3),"Overdue",IF($Q420&gt;=Settings!$C$4,"Inactive","On Track")))))</f>
        <v/>
      </c>
      <c r="S420" s="17" t="str">
        <f t="shared" si="26"/>
        <v/>
      </c>
      <c r="T420" s="36" t="str">
        <f t="shared" si="27"/>
        <v/>
      </c>
      <c r="U420" s="33">
        <f>IF(AND($O420="Open",OR(Dashboard!$D$3="All",$F420=Dashboard!$D$3)),$H420+ROW()/100000,0)</f>
        <v>0</v>
      </c>
    </row>
    <row r="421" spans="2:21" x14ac:dyDescent="0.25">
      <c r="B421" s="37"/>
      <c r="H421" s="38"/>
      <c r="I421" s="37"/>
      <c r="J421" s="39"/>
      <c r="K421" s="39"/>
      <c r="L421" s="39"/>
      <c r="N421" s="17" t="str">
        <f t="shared" si="24"/>
        <v/>
      </c>
      <c r="O421" s="17" t="str">
        <f t="shared" si="25"/>
        <v/>
      </c>
      <c r="P421" s="17" t="str">
        <f>IF($A421="","",IF($L421&lt;&gt;"",$L421,Settings!$C$3)-INT($B421))</f>
        <v/>
      </c>
      <c r="Q421" s="17" t="str">
        <f>IF($O421&lt;&gt;"Open","",Settings!$C$3-IF($J421&lt;&gt;"",$J421,INT($B421)))</f>
        <v/>
      </c>
      <c r="R421" s="17" t="str">
        <f>IF($A421="","",IF($O421="Closed","Closed",IF($F421="Unassigned","Unassigned",IF(AND($K421&lt;&gt;"",$K421&lt;Settings!$C$3),"Overdue",IF($Q421&gt;=Settings!$C$4,"Inactive","On Track")))))</f>
        <v/>
      </c>
      <c r="S421" s="17" t="str">
        <f t="shared" si="26"/>
        <v/>
      </c>
      <c r="T421" s="36" t="str">
        <f t="shared" si="27"/>
        <v/>
      </c>
      <c r="U421" s="33">
        <f>IF(AND($O421="Open",OR(Dashboard!$D$3="All",$F421=Dashboard!$D$3)),$H421+ROW()/100000,0)</f>
        <v>0</v>
      </c>
    </row>
    <row r="422" spans="2:21" x14ac:dyDescent="0.25">
      <c r="B422" s="37"/>
      <c r="H422" s="38"/>
      <c r="I422" s="37"/>
      <c r="J422" s="39"/>
      <c r="K422" s="39"/>
      <c r="L422" s="39"/>
      <c r="N422" s="17" t="str">
        <f t="shared" si="24"/>
        <v/>
      </c>
      <c r="O422" s="17" t="str">
        <f t="shared" si="25"/>
        <v/>
      </c>
      <c r="P422" s="17" t="str">
        <f>IF($A422="","",IF($L422&lt;&gt;"",$L422,Settings!$C$3)-INT($B422))</f>
        <v/>
      </c>
      <c r="Q422" s="17" t="str">
        <f>IF($O422&lt;&gt;"Open","",Settings!$C$3-IF($J422&lt;&gt;"",$J422,INT($B422)))</f>
        <v/>
      </c>
      <c r="R422" s="17" t="str">
        <f>IF($A422="","",IF($O422="Closed","Closed",IF($F422="Unassigned","Unassigned",IF(AND($K422&lt;&gt;"",$K422&lt;Settings!$C$3),"Overdue",IF($Q422&gt;=Settings!$C$4,"Inactive","On Track")))))</f>
        <v/>
      </c>
      <c r="S422" s="17" t="str">
        <f t="shared" si="26"/>
        <v/>
      </c>
      <c r="T422" s="36" t="str">
        <f t="shared" si="27"/>
        <v/>
      </c>
      <c r="U422" s="33">
        <f>IF(AND($O422="Open",OR(Dashboard!$D$3="All",$F422=Dashboard!$D$3)),$H422+ROW()/100000,0)</f>
        <v>0</v>
      </c>
    </row>
    <row r="423" spans="2:21" x14ac:dyDescent="0.25">
      <c r="B423" s="37"/>
      <c r="H423" s="38"/>
      <c r="I423" s="37"/>
      <c r="J423" s="39"/>
      <c r="K423" s="39"/>
      <c r="L423" s="39"/>
      <c r="N423" s="17" t="str">
        <f t="shared" si="24"/>
        <v/>
      </c>
      <c r="O423" s="17" t="str">
        <f t="shared" si="25"/>
        <v/>
      </c>
      <c r="P423" s="17" t="str">
        <f>IF($A423="","",IF($L423&lt;&gt;"",$L423,Settings!$C$3)-INT($B423))</f>
        <v/>
      </c>
      <c r="Q423" s="17" t="str">
        <f>IF($O423&lt;&gt;"Open","",Settings!$C$3-IF($J423&lt;&gt;"",$J423,INT($B423)))</f>
        <v/>
      </c>
      <c r="R423" s="17" t="str">
        <f>IF($A423="","",IF($O423="Closed","Closed",IF($F423="Unassigned","Unassigned",IF(AND($K423&lt;&gt;"",$K423&lt;Settings!$C$3),"Overdue",IF($Q423&gt;=Settings!$C$4,"Inactive","On Track")))))</f>
        <v/>
      </c>
      <c r="S423" s="17" t="str">
        <f t="shared" si="26"/>
        <v/>
      </c>
      <c r="T423" s="36" t="str">
        <f t="shared" si="27"/>
        <v/>
      </c>
      <c r="U423" s="33">
        <f>IF(AND($O423="Open",OR(Dashboard!$D$3="All",$F423=Dashboard!$D$3)),$H423+ROW()/100000,0)</f>
        <v>0</v>
      </c>
    </row>
    <row r="424" spans="2:21" x14ac:dyDescent="0.25">
      <c r="B424" s="37"/>
      <c r="H424" s="38"/>
      <c r="I424" s="37"/>
      <c r="J424" s="39"/>
      <c r="K424" s="39"/>
      <c r="L424" s="39"/>
      <c r="N424" s="17" t="str">
        <f t="shared" si="24"/>
        <v/>
      </c>
      <c r="O424" s="17" t="str">
        <f t="shared" si="25"/>
        <v/>
      </c>
      <c r="P424" s="17" t="str">
        <f>IF($A424="","",IF($L424&lt;&gt;"",$L424,Settings!$C$3)-INT($B424))</f>
        <v/>
      </c>
      <c r="Q424" s="17" t="str">
        <f>IF($O424&lt;&gt;"Open","",Settings!$C$3-IF($J424&lt;&gt;"",$J424,INT($B424)))</f>
        <v/>
      </c>
      <c r="R424" s="17" t="str">
        <f>IF($A424="","",IF($O424="Closed","Closed",IF($F424="Unassigned","Unassigned",IF(AND($K424&lt;&gt;"",$K424&lt;Settings!$C$3),"Overdue",IF($Q424&gt;=Settings!$C$4,"Inactive","On Track")))))</f>
        <v/>
      </c>
      <c r="S424" s="17" t="str">
        <f t="shared" si="26"/>
        <v/>
      </c>
      <c r="T424" s="36" t="str">
        <f t="shared" si="27"/>
        <v/>
      </c>
      <c r="U424" s="33">
        <f>IF(AND($O424="Open",OR(Dashboard!$D$3="All",$F424=Dashboard!$D$3)),$H424+ROW()/100000,0)</f>
        <v>0</v>
      </c>
    </row>
    <row r="425" spans="2:21" x14ac:dyDescent="0.25">
      <c r="B425" s="37"/>
      <c r="H425" s="38"/>
      <c r="I425" s="37"/>
      <c r="J425" s="39"/>
      <c r="K425" s="39"/>
      <c r="L425" s="39"/>
      <c r="N425" s="17" t="str">
        <f t="shared" si="24"/>
        <v/>
      </c>
      <c r="O425" s="17" t="str">
        <f t="shared" si="25"/>
        <v/>
      </c>
      <c r="P425" s="17" t="str">
        <f>IF($A425="","",IF($L425&lt;&gt;"",$L425,Settings!$C$3)-INT($B425))</f>
        <v/>
      </c>
      <c r="Q425" s="17" t="str">
        <f>IF($O425&lt;&gt;"Open","",Settings!$C$3-IF($J425&lt;&gt;"",$J425,INT($B425)))</f>
        <v/>
      </c>
      <c r="R425" s="17" t="str">
        <f>IF($A425="","",IF($O425="Closed","Closed",IF($F425="Unassigned","Unassigned",IF(AND($K425&lt;&gt;"",$K425&lt;Settings!$C$3),"Overdue",IF($Q425&gt;=Settings!$C$4,"Inactive","On Track")))))</f>
        <v/>
      </c>
      <c r="S425" s="17" t="str">
        <f t="shared" si="26"/>
        <v/>
      </c>
      <c r="T425" s="36" t="str">
        <f t="shared" si="27"/>
        <v/>
      </c>
      <c r="U425" s="33">
        <f>IF(AND($O425="Open",OR(Dashboard!$D$3="All",$F425=Dashboard!$D$3)),$H425+ROW()/100000,0)</f>
        <v>0</v>
      </c>
    </row>
    <row r="426" spans="2:21" x14ac:dyDescent="0.25">
      <c r="B426" s="37"/>
      <c r="H426" s="38"/>
      <c r="I426" s="37"/>
      <c r="J426" s="39"/>
      <c r="K426" s="39"/>
      <c r="L426" s="39"/>
      <c r="N426" s="17" t="str">
        <f t="shared" si="24"/>
        <v/>
      </c>
      <c r="O426" s="17" t="str">
        <f t="shared" si="25"/>
        <v/>
      </c>
      <c r="P426" s="17" t="str">
        <f>IF($A426="","",IF($L426&lt;&gt;"",$L426,Settings!$C$3)-INT($B426))</f>
        <v/>
      </c>
      <c r="Q426" s="17" t="str">
        <f>IF($O426&lt;&gt;"Open","",Settings!$C$3-IF($J426&lt;&gt;"",$J426,INT($B426)))</f>
        <v/>
      </c>
      <c r="R426" s="17" t="str">
        <f>IF($A426="","",IF($O426="Closed","Closed",IF($F426="Unassigned","Unassigned",IF(AND($K426&lt;&gt;"",$K426&lt;Settings!$C$3),"Overdue",IF($Q426&gt;=Settings!$C$4,"Inactive","On Track")))))</f>
        <v/>
      </c>
      <c r="S426" s="17" t="str">
        <f t="shared" si="26"/>
        <v/>
      </c>
      <c r="T426" s="36" t="str">
        <f t="shared" si="27"/>
        <v/>
      </c>
      <c r="U426" s="33">
        <f>IF(AND($O426="Open",OR(Dashboard!$D$3="All",$F426=Dashboard!$D$3)),$H426+ROW()/100000,0)</f>
        <v>0</v>
      </c>
    </row>
    <row r="427" spans="2:21" x14ac:dyDescent="0.25">
      <c r="B427" s="37"/>
      <c r="H427" s="38"/>
      <c r="I427" s="37"/>
      <c r="J427" s="39"/>
      <c r="K427" s="39"/>
      <c r="L427" s="39"/>
      <c r="N427" s="17" t="str">
        <f t="shared" si="24"/>
        <v/>
      </c>
      <c r="O427" s="17" t="str">
        <f t="shared" si="25"/>
        <v/>
      </c>
      <c r="P427" s="17" t="str">
        <f>IF($A427="","",IF($L427&lt;&gt;"",$L427,Settings!$C$3)-INT($B427))</f>
        <v/>
      </c>
      <c r="Q427" s="17" t="str">
        <f>IF($O427&lt;&gt;"Open","",Settings!$C$3-IF($J427&lt;&gt;"",$J427,INT($B427)))</f>
        <v/>
      </c>
      <c r="R427" s="17" t="str">
        <f>IF($A427="","",IF($O427="Closed","Closed",IF($F427="Unassigned","Unassigned",IF(AND($K427&lt;&gt;"",$K427&lt;Settings!$C$3),"Overdue",IF($Q427&gt;=Settings!$C$4,"Inactive","On Track")))))</f>
        <v/>
      </c>
      <c r="S427" s="17" t="str">
        <f t="shared" si="26"/>
        <v/>
      </c>
      <c r="T427" s="36" t="str">
        <f t="shared" si="27"/>
        <v/>
      </c>
      <c r="U427" s="33">
        <f>IF(AND($O427="Open",OR(Dashboard!$D$3="All",$F427=Dashboard!$D$3)),$H427+ROW()/100000,0)</f>
        <v>0</v>
      </c>
    </row>
    <row r="428" spans="2:21" x14ac:dyDescent="0.25">
      <c r="B428" s="37"/>
      <c r="H428" s="38"/>
      <c r="I428" s="37"/>
      <c r="J428" s="39"/>
      <c r="K428" s="39"/>
      <c r="L428" s="39"/>
      <c r="N428" s="17" t="str">
        <f t="shared" si="24"/>
        <v/>
      </c>
      <c r="O428" s="17" t="str">
        <f t="shared" si="25"/>
        <v/>
      </c>
      <c r="P428" s="17" t="str">
        <f>IF($A428="","",IF($L428&lt;&gt;"",$L428,Settings!$C$3)-INT($B428))</f>
        <v/>
      </c>
      <c r="Q428" s="17" t="str">
        <f>IF($O428&lt;&gt;"Open","",Settings!$C$3-IF($J428&lt;&gt;"",$J428,INT($B428)))</f>
        <v/>
      </c>
      <c r="R428" s="17" t="str">
        <f>IF($A428="","",IF($O428="Closed","Closed",IF($F428="Unassigned","Unassigned",IF(AND($K428&lt;&gt;"",$K428&lt;Settings!$C$3),"Overdue",IF($Q428&gt;=Settings!$C$4,"Inactive","On Track")))))</f>
        <v/>
      </c>
      <c r="S428" s="17" t="str">
        <f t="shared" si="26"/>
        <v/>
      </c>
      <c r="T428" s="36" t="str">
        <f t="shared" si="27"/>
        <v/>
      </c>
      <c r="U428" s="33">
        <f>IF(AND($O428="Open",OR(Dashboard!$D$3="All",$F428=Dashboard!$D$3)),$H428+ROW()/100000,0)</f>
        <v>0</v>
      </c>
    </row>
    <row r="429" spans="2:21" x14ac:dyDescent="0.25">
      <c r="B429" s="37"/>
      <c r="H429" s="38"/>
      <c r="I429" s="37"/>
      <c r="J429" s="39"/>
      <c r="K429" s="39"/>
      <c r="L429" s="39"/>
      <c r="N429" s="17" t="str">
        <f t="shared" si="24"/>
        <v/>
      </c>
      <c r="O429" s="17" t="str">
        <f t="shared" si="25"/>
        <v/>
      </c>
      <c r="P429" s="17" t="str">
        <f>IF($A429="","",IF($L429&lt;&gt;"",$L429,Settings!$C$3)-INT($B429))</f>
        <v/>
      </c>
      <c r="Q429" s="17" t="str">
        <f>IF($O429&lt;&gt;"Open","",Settings!$C$3-IF($J429&lt;&gt;"",$J429,INT($B429)))</f>
        <v/>
      </c>
      <c r="R429" s="17" t="str">
        <f>IF($A429="","",IF($O429="Closed","Closed",IF($F429="Unassigned","Unassigned",IF(AND($K429&lt;&gt;"",$K429&lt;Settings!$C$3),"Overdue",IF($Q429&gt;=Settings!$C$4,"Inactive","On Track")))))</f>
        <v/>
      </c>
      <c r="S429" s="17" t="str">
        <f t="shared" si="26"/>
        <v/>
      </c>
      <c r="T429" s="36" t="str">
        <f t="shared" si="27"/>
        <v/>
      </c>
      <c r="U429" s="33">
        <f>IF(AND($O429="Open",OR(Dashboard!$D$3="All",$F429=Dashboard!$D$3)),$H429+ROW()/100000,0)</f>
        <v>0</v>
      </c>
    </row>
    <row r="430" spans="2:21" x14ac:dyDescent="0.25">
      <c r="B430" s="37"/>
      <c r="H430" s="38"/>
      <c r="I430" s="37"/>
      <c r="J430" s="39"/>
      <c r="K430" s="39"/>
      <c r="L430" s="39"/>
      <c r="N430" s="17" t="str">
        <f t="shared" si="24"/>
        <v/>
      </c>
      <c r="O430" s="17" t="str">
        <f t="shared" si="25"/>
        <v/>
      </c>
      <c r="P430" s="17" t="str">
        <f>IF($A430="","",IF($L430&lt;&gt;"",$L430,Settings!$C$3)-INT($B430))</f>
        <v/>
      </c>
      <c r="Q430" s="17" t="str">
        <f>IF($O430&lt;&gt;"Open","",Settings!$C$3-IF($J430&lt;&gt;"",$J430,INT($B430)))</f>
        <v/>
      </c>
      <c r="R430" s="17" t="str">
        <f>IF($A430="","",IF($O430="Closed","Closed",IF($F430="Unassigned","Unassigned",IF(AND($K430&lt;&gt;"",$K430&lt;Settings!$C$3),"Overdue",IF($Q430&gt;=Settings!$C$4,"Inactive","On Track")))))</f>
        <v/>
      </c>
      <c r="S430" s="17" t="str">
        <f t="shared" si="26"/>
        <v/>
      </c>
      <c r="T430" s="36" t="str">
        <f t="shared" si="27"/>
        <v/>
      </c>
      <c r="U430" s="33">
        <f>IF(AND($O430="Open",OR(Dashboard!$D$3="All",$F430=Dashboard!$D$3)),$H430+ROW()/100000,0)</f>
        <v>0</v>
      </c>
    </row>
    <row r="431" spans="2:21" x14ac:dyDescent="0.25">
      <c r="B431" s="37"/>
      <c r="H431" s="38"/>
      <c r="I431" s="37"/>
      <c r="J431" s="39"/>
      <c r="K431" s="39"/>
      <c r="L431" s="39"/>
      <c r="N431" s="17" t="str">
        <f t="shared" si="24"/>
        <v/>
      </c>
      <c r="O431" s="17" t="str">
        <f t="shared" si="25"/>
        <v/>
      </c>
      <c r="P431" s="17" t="str">
        <f>IF($A431="","",IF($L431&lt;&gt;"",$L431,Settings!$C$3)-INT($B431))</f>
        <v/>
      </c>
      <c r="Q431" s="17" t="str">
        <f>IF($O431&lt;&gt;"Open","",Settings!$C$3-IF($J431&lt;&gt;"",$J431,INT($B431)))</f>
        <v/>
      </c>
      <c r="R431" s="17" t="str">
        <f>IF($A431="","",IF($O431="Closed","Closed",IF($F431="Unassigned","Unassigned",IF(AND($K431&lt;&gt;"",$K431&lt;Settings!$C$3),"Overdue",IF($Q431&gt;=Settings!$C$4,"Inactive","On Track")))))</f>
        <v/>
      </c>
      <c r="S431" s="17" t="str">
        <f t="shared" si="26"/>
        <v/>
      </c>
      <c r="T431" s="36" t="str">
        <f t="shared" si="27"/>
        <v/>
      </c>
      <c r="U431" s="33">
        <f>IF(AND($O431="Open",OR(Dashboard!$D$3="All",$F431=Dashboard!$D$3)),$H431+ROW()/100000,0)</f>
        <v>0</v>
      </c>
    </row>
    <row r="432" spans="2:21" x14ac:dyDescent="0.25">
      <c r="B432" s="37"/>
      <c r="H432" s="38"/>
      <c r="I432" s="37"/>
      <c r="J432" s="39"/>
      <c r="K432" s="39"/>
      <c r="L432" s="39"/>
      <c r="N432" s="17" t="str">
        <f t="shared" si="24"/>
        <v/>
      </c>
      <c r="O432" s="17" t="str">
        <f t="shared" si="25"/>
        <v/>
      </c>
      <c r="P432" s="17" t="str">
        <f>IF($A432="","",IF($L432&lt;&gt;"",$L432,Settings!$C$3)-INT($B432))</f>
        <v/>
      </c>
      <c r="Q432" s="17" t="str">
        <f>IF($O432&lt;&gt;"Open","",Settings!$C$3-IF($J432&lt;&gt;"",$J432,INT($B432)))</f>
        <v/>
      </c>
      <c r="R432" s="17" t="str">
        <f>IF($A432="","",IF($O432="Closed","Closed",IF($F432="Unassigned","Unassigned",IF(AND($K432&lt;&gt;"",$K432&lt;Settings!$C$3),"Overdue",IF($Q432&gt;=Settings!$C$4,"Inactive","On Track")))))</f>
        <v/>
      </c>
      <c r="S432" s="17" t="str">
        <f t="shared" si="26"/>
        <v/>
      </c>
      <c r="T432" s="36" t="str">
        <f t="shared" si="27"/>
        <v/>
      </c>
      <c r="U432" s="33">
        <f>IF(AND($O432="Open",OR(Dashboard!$D$3="All",$F432=Dashboard!$D$3)),$H432+ROW()/100000,0)</f>
        <v>0</v>
      </c>
    </row>
    <row r="433" spans="2:21" x14ac:dyDescent="0.25">
      <c r="B433" s="37"/>
      <c r="H433" s="38"/>
      <c r="I433" s="37"/>
      <c r="J433" s="39"/>
      <c r="K433" s="39"/>
      <c r="L433" s="39"/>
      <c r="N433" s="17" t="str">
        <f t="shared" si="24"/>
        <v/>
      </c>
      <c r="O433" s="17" t="str">
        <f t="shared" si="25"/>
        <v/>
      </c>
      <c r="P433" s="17" t="str">
        <f>IF($A433="","",IF($L433&lt;&gt;"",$L433,Settings!$C$3)-INT($B433))</f>
        <v/>
      </c>
      <c r="Q433" s="17" t="str">
        <f>IF($O433&lt;&gt;"Open","",Settings!$C$3-IF($J433&lt;&gt;"",$J433,INT($B433)))</f>
        <v/>
      </c>
      <c r="R433" s="17" t="str">
        <f>IF($A433="","",IF($O433="Closed","Closed",IF($F433="Unassigned","Unassigned",IF(AND($K433&lt;&gt;"",$K433&lt;Settings!$C$3),"Overdue",IF($Q433&gt;=Settings!$C$4,"Inactive","On Track")))))</f>
        <v/>
      </c>
      <c r="S433" s="17" t="str">
        <f t="shared" si="26"/>
        <v/>
      </c>
      <c r="T433" s="36" t="str">
        <f t="shared" si="27"/>
        <v/>
      </c>
      <c r="U433" s="33">
        <f>IF(AND($O433="Open",OR(Dashboard!$D$3="All",$F433=Dashboard!$D$3)),$H433+ROW()/100000,0)</f>
        <v>0</v>
      </c>
    </row>
    <row r="434" spans="2:21" x14ac:dyDescent="0.25">
      <c r="B434" s="37"/>
      <c r="H434" s="38"/>
      <c r="I434" s="37"/>
      <c r="J434" s="39"/>
      <c r="K434" s="39"/>
      <c r="L434" s="39"/>
      <c r="N434" s="17" t="str">
        <f t="shared" si="24"/>
        <v/>
      </c>
      <c r="O434" s="17" t="str">
        <f t="shared" si="25"/>
        <v/>
      </c>
      <c r="P434" s="17" t="str">
        <f>IF($A434="","",IF($L434&lt;&gt;"",$L434,Settings!$C$3)-INT($B434))</f>
        <v/>
      </c>
      <c r="Q434" s="17" t="str">
        <f>IF($O434&lt;&gt;"Open","",Settings!$C$3-IF($J434&lt;&gt;"",$J434,INT($B434)))</f>
        <v/>
      </c>
      <c r="R434" s="17" t="str">
        <f>IF($A434="","",IF($O434="Closed","Closed",IF($F434="Unassigned","Unassigned",IF(AND($K434&lt;&gt;"",$K434&lt;Settings!$C$3),"Overdue",IF($Q434&gt;=Settings!$C$4,"Inactive","On Track")))))</f>
        <v/>
      </c>
      <c r="S434" s="17" t="str">
        <f t="shared" si="26"/>
        <v/>
      </c>
      <c r="T434" s="36" t="str">
        <f t="shared" si="27"/>
        <v/>
      </c>
      <c r="U434" s="33">
        <f>IF(AND($O434="Open",OR(Dashboard!$D$3="All",$F434=Dashboard!$D$3)),$H434+ROW()/100000,0)</f>
        <v>0</v>
      </c>
    </row>
    <row r="435" spans="2:21" x14ac:dyDescent="0.25">
      <c r="B435" s="37"/>
      <c r="H435" s="38"/>
      <c r="I435" s="37"/>
      <c r="J435" s="39"/>
      <c r="K435" s="39"/>
      <c r="L435" s="39"/>
      <c r="N435" s="17" t="str">
        <f t="shared" si="24"/>
        <v/>
      </c>
      <c r="O435" s="17" t="str">
        <f t="shared" si="25"/>
        <v/>
      </c>
      <c r="P435" s="17" t="str">
        <f>IF($A435="","",IF($L435&lt;&gt;"",$L435,Settings!$C$3)-INT($B435))</f>
        <v/>
      </c>
      <c r="Q435" s="17" t="str">
        <f>IF($O435&lt;&gt;"Open","",Settings!$C$3-IF($J435&lt;&gt;"",$J435,INT($B435)))</f>
        <v/>
      </c>
      <c r="R435" s="17" t="str">
        <f>IF($A435="","",IF($O435="Closed","Closed",IF($F435="Unassigned","Unassigned",IF(AND($K435&lt;&gt;"",$K435&lt;Settings!$C$3),"Overdue",IF($Q435&gt;=Settings!$C$4,"Inactive","On Track")))))</f>
        <v/>
      </c>
      <c r="S435" s="17" t="str">
        <f t="shared" si="26"/>
        <v/>
      </c>
      <c r="T435" s="36" t="str">
        <f t="shared" si="27"/>
        <v/>
      </c>
      <c r="U435" s="33">
        <f>IF(AND($O435="Open",OR(Dashboard!$D$3="All",$F435=Dashboard!$D$3)),$H435+ROW()/100000,0)</f>
        <v>0</v>
      </c>
    </row>
    <row r="436" spans="2:21" x14ac:dyDescent="0.25">
      <c r="B436" s="37"/>
      <c r="H436" s="38"/>
      <c r="I436" s="37"/>
      <c r="J436" s="39"/>
      <c r="K436" s="39"/>
      <c r="L436" s="39"/>
      <c r="N436" s="17" t="str">
        <f t="shared" si="24"/>
        <v/>
      </c>
      <c r="O436" s="17" t="str">
        <f t="shared" si="25"/>
        <v/>
      </c>
      <c r="P436" s="17" t="str">
        <f>IF($A436="","",IF($L436&lt;&gt;"",$L436,Settings!$C$3)-INT($B436))</f>
        <v/>
      </c>
      <c r="Q436" s="17" t="str">
        <f>IF($O436&lt;&gt;"Open","",Settings!$C$3-IF($J436&lt;&gt;"",$J436,INT($B436)))</f>
        <v/>
      </c>
      <c r="R436" s="17" t="str">
        <f>IF($A436="","",IF($O436="Closed","Closed",IF($F436="Unassigned","Unassigned",IF(AND($K436&lt;&gt;"",$K436&lt;Settings!$C$3),"Overdue",IF($Q436&gt;=Settings!$C$4,"Inactive","On Track")))))</f>
        <v/>
      </c>
      <c r="S436" s="17" t="str">
        <f t="shared" si="26"/>
        <v/>
      </c>
      <c r="T436" s="36" t="str">
        <f t="shared" si="27"/>
        <v/>
      </c>
      <c r="U436" s="33">
        <f>IF(AND($O436="Open",OR(Dashboard!$D$3="All",$F436=Dashboard!$D$3)),$H436+ROW()/100000,0)</f>
        <v>0</v>
      </c>
    </row>
    <row r="437" spans="2:21" x14ac:dyDescent="0.25">
      <c r="B437" s="37"/>
      <c r="H437" s="38"/>
      <c r="I437" s="37"/>
      <c r="J437" s="39"/>
      <c r="K437" s="39"/>
      <c r="L437" s="39"/>
      <c r="N437" s="17" t="str">
        <f t="shared" si="24"/>
        <v/>
      </c>
      <c r="O437" s="17" t="str">
        <f t="shared" si="25"/>
        <v/>
      </c>
      <c r="P437" s="17" t="str">
        <f>IF($A437="","",IF($L437&lt;&gt;"",$L437,Settings!$C$3)-INT($B437))</f>
        <v/>
      </c>
      <c r="Q437" s="17" t="str">
        <f>IF($O437&lt;&gt;"Open","",Settings!$C$3-IF($J437&lt;&gt;"",$J437,INT($B437)))</f>
        <v/>
      </c>
      <c r="R437" s="17" t="str">
        <f>IF($A437="","",IF($O437="Closed","Closed",IF($F437="Unassigned","Unassigned",IF(AND($K437&lt;&gt;"",$K437&lt;Settings!$C$3),"Overdue",IF($Q437&gt;=Settings!$C$4,"Inactive","On Track")))))</f>
        <v/>
      </c>
      <c r="S437" s="17" t="str">
        <f t="shared" si="26"/>
        <v/>
      </c>
      <c r="T437" s="36" t="str">
        <f t="shared" si="27"/>
        <v/>
      </c>
      <c r="U437" s="33">
        <f>IF(AND($O437="Open",OR(Dashboard!$D$3="All",$F437=Dashboard!$D$3)),$H437+ROW()/100000,0)</f>
        <v>0</v>
      </c>
    </row>
    <row r="438" spans="2:21" x14ac:dyDescent="0.25">
      <c r="B438" s="37"/>
      <c r="H438" s="38"/>
      <c r="I438" s="37"/>
      <c r="J438" s="39"/>
      <c r="K438" s="39"/>
      <c r="L438" s="39"/>
      <c r="N438" s="17" t="str">
        <f t="shared" si="24"/>
        <v/>
      </c>
      <c r="O438" s="17" t="str">
        <f t="shared" si="25"/>
        <v/>
      </c>
      <c r="P438" s="17" t="str">
        <f>IF($A438="","",IF($L438&lt;&gt;"",$L438,Settings!$C$3)-INT($B438))</f>
        <v/>
      </c>
      <c r="Q438" s="17" t="str">
        <f>IF($O438&lt;&gt;"Open","",Settings!$C$3-IF($J438&lt;&gt;"",$J438,INT($B438)))</f>
        <v/>
      </c>
      <c r="R438" s="17" t="str">
        <f>IF($A438="","",IF($O438="Closed","Closed",IF($F438="Unassigned","Unassigned",IF(AND($K438&lt;&gt;"",$K438&lt;Settings!$C$3),"Overdue",IF($Q438&gt;=Settings!$C$4,"Inactive","On Track")))))</f>
        <v/>
      </c>
      <c r="S438" s="17" t="str">
        <f t="shared" si="26"/>
        <v/>
      </c>
      <c r="T438" s="36" t="str">
        <f t="shared" si="27"/>
        <v/>
      </c>
      <c r="U438" s="33">
        <f>IF(AND($O438="Open",OR(Dashboard!$D$3="All",$F438=Dashboard!$D$3)),$H438+ROW()/100000,0)</f>
        <v>0</v>
      </c>
    </row>
    <row r="439" spans="2:21" x14ac:dyDescent="0.25">
      <c r="B439" s="37"/>
      <c r="H439" s="38"/>
      <c r="I439" s="37"/>
      <c r="J439" s="39"/>
      <c r="K439" s="39"/>
      <c r="L439" s="39"/>
      <c r="N439" s="17" t="str">
        <f t="shared" si="24"/>
        <v/>
      </c>
      <c r="O439" s="17" t="str">
        <f t="shared" si="25"/>
        <v/>
      </c>
      <c r="P439" s="17" t="str">
        <f>IF($A439="","",IF($L439&lt;&gt;"",$L439,Settings!$C$3)-INT($B439))</f>
        <v/>
      </c>
      <c r="Q439" s="17" t="str">
        <f>IF($O439&lt;&gt;"Open","",Settings!$C$3-IF($J439&lt;&gt;"",$J439,INT($B439)))</f>
        <v/>
      </c>
      <c r="R439" s="17" t="str">
        <f>IF($A439="","",IF($O439="Closed","Closed",IF($F439="Unassigned","Unassigned",IF(AND($K439&lt;&gt;"",$K439&lt;Settings!$C$3),"Overdue",IF($Q439&gt;=Settings!$C$4,"Inactive","On Track")))))</f>
        <v/>
      </c>
      <c r="S439" s="17" t="str">
        <f t="shared" si="26"/>
        <v/>
      </c>
      <c r="T439" s="36" t="str">
        <f t="shared" si="27"/>
        <v/>
      </c>
      <c r="U439" s="33">
        <f>IF(AND($O439="Open",OR(Dashboard!$D$3="All",$F439=Dashboard!$D$3)),$H439+ROW()/100000,0)</f>
        <v>0</v>
      </c>
    </row>
    <row r="440" spans="2:21" x14ac:dyDescent="0.25">
      <c r="B440" s="37"/>
      <c r="H440" s="38"/>
      <c r="I440" s="37"/>
      <c r="J440" s="39"/>
      <c r="K440" s="39"/>
      <c r="L440" s="39"/>
      <c r="N440" s="17" t="str">
        <f t="shared" si="24"/>
        <v/>
      </c>
      <c r="O440" s="17" t="str">
        <f t="shared" si="25"/>
        <v/>
      </c>
      <c r="P440" s="17" t="str">
        <f>IF($A440="","",IF($L440&lt;&gt;"",$L440,Settings!$C$3)-INT($B440))</f>
        <v/>
      </c>
      <c r="Q440" s="17" t="str">
        <f>IF($O440&lt;&gt;"Open","",Settings!$C$3-IF($J440&lt;&gt;"",$J440,INT($B440)))</f>
        <v/>
      </c>
      <c r="R440" s="17" t="str">
        <f>IF($A440="","",IF($O440="Closed","Closed",IF($F440="Unassigned","Unassigned",IF(AND($K440&lt;&gt;"",$K440&lt;Settings!$C$3),"Overdue",IF($Q440&gt;=Settings!$C$4,"Inactive","On Track")))))</f>
        <v/>
      </c>
      <c r="S440" s="17" t="str">
        <f t="shared" si="26"/>
        <v/>
      </c>
      <c r="T440" s="36" t="str">
        <f t="shared" si="27"/>
        <v/>
      </c>
      <c r="U440" s="33">
        <f>IF(AND($O440="Open",OR(Dashboard!$D$3="All",$F440=Dashboard!$D$3)),$H440+ROW()/100000,0)</f>
        <v>0</v>
      </c>
    </row>
    <row r="441" spans="2:21" x14ac:dyDescent="0.25">
      <c r="B441" s="37"/>
      <c r="H441" s="38"/>
      <c r="I441" s="37"/>
      <c r="J441" s="39"/>
      <c r="K441" s="39"/>
      <c r="L441" s="39"/>
      <c r="N441" s="17" t="str">
        <f t="shared" si="24"/>
        <v/>
      </c>
      <c r="O441" s="17" t="str">
        <f t="shared" si="25"/>
        <v/>
      </c>
      <c r="P441" s="17" t="str">
        <f>IF($A441="","",IF($L441&lt;&gt;"",$L441,Settings!$C$3)-INT($B441))</f>
        <v/>
      </c>
      <c r="Q441" s="17" t="str">
        <f>IF($O441&lt;&gt;"Open","",Settings!$C$3-IF($J441&lt;&gt;"",$J441,INT($B441)))</f>
        <v/>
      </c>
      <c r="R441" s="17" t="str">
        <f>IF($A441="","",IF($O441="Closed","Closed",IF($F441="Unassigned","Unassigned",IF(AND($K441&lt;&gt;"",$K441&lt;Settings!$C$3),"Overdue",IF($Q441&gt;=Settings!$C$4,"Inactive","On Track")))))</f>
        <v/>
      </c>
      <c r="S441" s="17" t="str">
        <f t="shared" si="26"/>
        <v/>
      </c>
      <c r="T441" s="36" t="str">
        <f t="shared" si="27"/>
        <v/>
      </c>
      <c r="U441" s="33">
        <f>IF(AND($O441="Open",OR(Dashboard!$D$3="All",$F441=Dashboard!$D$3)),$H441+ROW()/100000,0)</f>
        <v>0</v>
      </c>
    </row>
    <row r="442" spans="2:21" x14ac:dyDescent="0.25">
      <c r="B442" s="37"/>
      <c r="H442" s="38"/>
      <c r="I442" s="37"/>
      <c r="J442" s="39"/>
      <c r="K442" s="39"/>
      <c r="L442" s="39"/>
      <c r="N442" s="17" t="str">
        <f t="shared" si="24"/>
        <v/>
      </c>
      <c r="O442" s="17" t="str">
        <f t="shared" si="25"/>
        <v/>
      </c>
      <c r="P442" s="17" t="str">
        <f>IF($A442="","",IF($L442&lt;&gt;"",$L442,Settings!$C$3)-INT($B442))</f>
        <v/>
      </c>
      <c r="Q442" s="17" t="str">
        <f>IF($O442&lt;&gt;"Open","",Settings!$C$3-IF($J442&lt;&gt;"",$J442,INT($B442)))</f>
        <v/>
      </c>
      <c r="R442" s="17" t="str">
        <f>IF($A442="","",IF($O442="Closed","Closed",IF($F442="Unassigned","Unassigned",IF(AND($K442&lt;&gt;"",$K442&lt;Settings!$C$3),"Overdue",IF($Q442&gt;=Settings!$C$4,"Inactive","On Track")))))</f>
        <v/>
      </c>
      <c r="S442" s="17" t="str">
        <f t="shared" si="26"/>
        <v/>
      </c>
      <c r="T442" s="36" t="str">
        <f t="shared" si="27"/>
        <v/>
      </c>
      <c r="U442" s="33">
        <f>IF(AND($O442="Open",OR(Dashboard!$D$3="All",$F442=Dashboard!$D$3)),$H442+ROW()/100000,0)</f>
        <v>0</v>
      </c>
    </row>
    <row r="443" spans="2:21" x14ac:dyDescent="0.25">
      <c r="B443" s="37"/>
      <c r="H443" s="38"/>
      <c r="I443" s="37"/>
      <c r="J443" s="39"/>
      <c r="K443" s="39"/>
      <c r="L443" s="39"/>
      <c r="N443" s="17" t="str">
        <f t="shared" si="24"/>
        <v/>
      </c>
      <c r="O443" s="17" t="str">
        <f t="shared" si="25"/>
        <v/>
      </c>
      <c r="P443" s="17" t="str">
        <f>IF($A443="","",IF($L443&lt;&gt;"",$L443,Settings!$C$3)-INT($B443))</f>
        <v/>
      </c>
      <c r="Q443" s="17" t="str">
        <f>IF($O443&lt;&gt;"Open","",Settings!$C$3-IF($J443&lt;&gt;"",$J443,INT($B443)))</f>
        <v/>
      </c>
      <c r="R443" s="17" t="str">
        <f>IF($A443="","",IF($O443="Closed","Closed",IF($F443="Unassigned","Unassigned",IF(AND($K443&lt;&gt;"",$K443&lt;Settings!$C$3),"Overdue",IF($Q443&gt;=Settings!$C$4,"Inactive","On Track")))))</f>
        <v/>
      </c>
      <c r="S443" s="17" t="str">
        <f t="shared" si="26"/>
        <v/>
      </c>
      <c r="T443" s="36" t="str">
        <f t="shared" si="27"/>
        <v/>
      </c>
      <c r="U443" s="33">
        <f>IF(AND($O443="Open",OR(Dashboard!$D$3="All",$F443=Dashboard!$D$3)),$H443+ROW()/100000,0)</f>
        <v>0</v>
      </c>
    </row>
    <row r="444" spans="2:21" x14ac:dyDescent="0.25">
      <c r="B444" s="37"/>
      <c r="H444" s="38"/>
      <c r="I444" s="37"/>
      <c r="J444" s="39"/>
      <c r="K444" s="39"/>
      <c r="L444" s="39"/>
      <c r="N444" s="17" t="str">
        <f t="shared" si="24"/>
        <v/>
      </c>
      <c r="O444" s="17" t="str">
        <f t="shared" si="25"/>
        <v/>
      </c>
      <c r="P444" s="17" t="str">
        <f>IF($A444="","",IF($L444&lt;&gt;"",$L444,Settings!$C$3)-INT($B444))</f>
        <v/>
      </c>
      <c r="Q444" s="17" t="str">
        <f>IF($O444&lt;&gt;"Open","",Settings!$C$3-IF($J444&lt;&gt;"",$J444,INT($B444)))</f>
        <v/>
      </c>
      <c r="R444" s="17" t="str">
        <f>IF($A444="","",IF($O444="Closed","Closed",IF($F444="Unassigned","Unassigned",IF(AND($K444&lt;&gt;"",$K444&lt;Settings!$C$3),"Overdue",IF($Q444&gt;=Settings!$C$4,"Inactive","On Track")))))</f>
        <v/>
      </c>
      <c r="S444" s="17" t="str">
        <f t="shared" si="26"/>
        <v/>
      </c>
      <c r="T444" s="36" t="str">
        <f t="shared" si="27"/>
        <v/>
      </c>
      <c r="U444" s="33">
        <f>IF(AND($O444="Open",OR(Dashboard!$D$3="All",$F444=Dashboard!$D$3)),$H444+ROW()/100000,0)</f>
        <v>0</v>
      </c>
    </row>
    <row r="445" spans="2:21" x14ac:dyDescent="0.25">
      <c r="B445" s="37"/>
      <c r="H445" s="38"/>
      <c r="I445" s="37"/>
      <c r="J445" s="39"/>
      <c r="K445" s="39"/>
      <c r="L445" s="39"/>
      <c r="N445" s="17" t="str">
        <f t="shared" si="24"/>
        <v/>
      </c>
      <c r="O445" s="17" t="str">
        <f t="shared" si="25"/>
        <v/>
      </c>
      <c r="P445" s="17" t="str">
        <f>IF($A445="","",IF($L445&lt;&gt;"",$L445,Settings!$C$3)-INT($B445))</f>
        <v/>
      </c>
      <c r="Q445" s="17" t="str">
        <f>IF($O445&lt;&gt;"Open","",Settings!$C$3-IF($J445&lt;&gt;"",$J445,INT($B445)))</f>
        <v/>
      </c>
      <c r="R445" s="17" t="str">
        <f>IF($A445="","",IF($O445="Closed","Closed",IF($F445="Unassigned","Unassigned",IF(AND($K445&lt;&gt;"",$K445&lt;Settings!$C$3),"Overdue",IF($Q445&gt;=Settings!$C$4,"Inactive","On Track")))))</f>
        <v/>
      </c>
      <c r="S445" s="17" t="str">
        <f t="shared" si="26"/>
        <v/>
      </c>
      <c r="T445" s="36" t="str">
        <f t="shared" si="27"/>
        <v/>
      </c>
      <c r="U445" s="33">
        <f>IF(AND($O445="Open",OR(Dashboard!$D$3="All",$F445=Dashboard!$D$3)),$H445+ROW()/100000,0)</f>
        <v>0</v>
      </c>
    </row>
    <row r="446" spans="2:21" x14ac:dyDescent="0.25">
      <c r="B446" s="37"/>
      <c r="H446" s="38"/>
      <c r="I446" s="37"/>
      <c r="J446" s="39"/>
      <c r="K446" s="39"/>
      <c r="L446" s="39"/>
      <c r="N446" s="17" t="str">
        <f t="shared" si="24"/>
        <v/>
      </c>
      <c r="O446" s="17" t="str">
        <f t="shared" si="25"/>
        <v/>
      </c>
      <c r="P446" s="17" t="str">
        <f>IF($A446="","",IF($L446&lt;&gt;"",$L446,Settings!$C$3)-INT($B446))</f>
        <v/>
      </c>
      <c r="Q446" s="17" t="str">
        <f>IF($O446&lt;&gt;"Open","",Settings!$C$3-IF($J446&lt;&gt;"",$J446,INT($B446)))</f>
        <v/>
      </c>
      <c r="R446" s="17" t="str">
        <f>IF($A446="","",IF($O446="Closed","Closed",IF($F446="Unassigned","Unassigned",IF(AND($K446&lt;&gt;"",$K446&lt;Settings!$C$3),"Overdue",IF($Q446&gt;=Settings!$C$4,"Inactive","On Track")))))</f>
        <v/>
      </c>
      <c r="S446" s="17" t="str">
        <f t="shared" si="26"/>
        <v/>
      </c>
      <c r="T446" s="36" t="str">
        <f t="shared" si="27"/>
        <v/>
      </c>
      <c r="U446" s="33">
        <f>IF(AND($O446="Open",OR(Dashboard!$D$3="All",$F446=Dashboard!$D$3)),$H446+ROW()/100000,0)</f>
        <v>0</v>
      </c>
    </row>
    <row r="447" spans="2:21" x14ac:dyDescent="0.25">
      <c r="B447" s="37"/>
      <c r="H447" s="38"/>
      <c r="I447" s="37"/>
      <c r="J447" s="39"/>
      <c r="K447" s="39"/>
      <c r="L447" s="39"/>
      <c r="N447" s="17" t="str">
        <f t="shared" si="24"/>
        <v/>
      </c>
      <c r="O447" s="17" t="str">
        <f t="shared" si="25"/>
        <v/>
      </c>
      <c r="P447" s="17" t="str">
        <f>IF($A447="","",IF($L447&lt;&gt;"",$L447,Settings!$C$3)-INT($B447))</f>
        <v/>
      </c>
      <c r="Q447" s="17" t="str">
        <f>IF($O447&lt;&gt;"Open","",Settings!$C$3-IF($J447&lt;&gt;"",$J447,INT($B447)))</f>
        <v/>
      </c>
      <c r="R447" s="17" t="str">
        <f>IF($A447="","",IF($O447="Closed","Closed",IF($F447="Unassigned","Unassigned",IF(AND($K447&lt;&gt;"",$K447&lt;Settings!$C$3),"Overdue",IF($Q447&gt;=Settings!$C$4,"Inactive","On Track")))))</f>
        <v/>
      </c>
      <c r="S447" s="17" t="str">
        <f t="shared" si="26"/>
        <v/>
      </c>
      <c r="T447" s="36" t="str">
        <f t="shared" si="27"/>
        <v/>
      </c>
      <c r="U447" s="33">
        <f>IF(AND($O447="Open",OR(Dashboard!$D$3="All",$F447=Dashboard!$D$3)),$H447+ROW()/100000,0)</f>
        <v>0</v>
      </c>
    </row>
    <row r="448" spans="2:21" x14ac:dyDescent="0.25">
      <c r="B448" s="37"/>
      <c r="H448" s="38"/>
      <c r="I448" s="37"/>
      <c r="J448" s="39"/>
      <c r="K448" s="39"/>
      <c r="L448" s="39"/>
      <c r="N448" s="17" t="str">
        <f t="shared" si="24"/>
        <v/>
      </c>
      <c r="O448" s="17" t="str">
        <f t="shared" si="25"/>
        <v/>
      </c>
      <c r="P448" s="17" t="str">
        <f>IF($A448="","",IF($L448&lt;&gt;"",$L448,Settings!$C$3)-INT($B448))</f>
        <v/>
      </c>
      <c r="Q448" s="17" t="str">
        <f>IF($O448&lt;&gt;"Open","",Settings!$C$3-IF($J448&lt;&gt;"",$J448,INT($B448)))</f>
        <v/>
      </c>
      <c r="R448" s="17" t="str">
        <f>IF($A448="","",IF($O448="Closed","Closed",IF($F448="Unassigned","Unassigned",IF(AND($K448&lt;&gt;"",$K448&lt;Settings!$C$3),"Overdue",IF($Q448&gt;=Settings!$C$4,"Inactive","On Track")))))</f>
        <v/>
      </c>
      <c r="S448" s="17" t="str">
        <f t="shared" si="26"/>
        <v/>
      </c>
      <c r="T448" s="36" t="str">
        <f t="shared" si="27"/>
        <v/>
      </c>
      <c r="U448" s="33">
        <f>IF(AND($O448="Open",OR(Dashboard!$D$3="All",$F448=Dashboard!$D$3)),$H448+ROW()/100000,0)</f>
        <v>0</v>
      </c>
    </row>
    <row r="449" spans="2:21" x14ac:dyDescent="0.25">
      <c r="B449" s="37"/>
      <c r="H449" s="38"/>
      <c r="I449" s="37"/>
      <c r="J449" s="39"/>
      <c r="K449" s="39"/>
      <c r="L449" s="39"/>
      <c r="N449" s="17" t="str">
        <f t="shared" si="24"/>
        <v/>
      </c>
      <c r="O449" s="17" t="str">
        <f t="shared" si="25"/>
        <v/>
      </c>
      <c r="P449" s="17" t="str">
        <f>IF($A449="","",IF($L449&lt;&gt;"",$L449,Settings!$C$3)-INT($B449))</f>
        <v/>
      </c>
      <c r="Q449" s="17" t="str">
        <f>IF($O449&lt;&gt;"Open","",Settings!$C$3-IF($J449&lt;&gt;"",$J449,INT($B449)))</f>
        <v/>
      </c>
      <c r="R449" s="17" t="str">
        <f>IF($A449="","",IF($O449="Closed","Closed",IF($F449="Unassigned","Unassigned",IF(AND($K449&lt;&gt;"",$K449&lt;Settings!$C$3),"Overdue",IF($Q449&gt;=Settings!$C$4,"Inactive","On Track")))))</f>
        <v/>
      </c>
      <c r="S449" s="17" t="str">
        <f t="shared" si="26"/>
        <v/>
      </c>
      <c r="T449" s="36" t="str">
        <f t="shared" si="27"/>
        <v/>
      </c>
      <c r="U449" s="33">
        <f>IF(AND($O449="Open",OR(Dashboard!$D$3="All",$F449=Dashboard!$D$3)),$H449+ROW()/100000,0)</f>
        <v>0</v>
      </c>
    </row>
    <row r="450" spans="2:21" x14ac:dyDescent="0.25">
      <c r="B450" s="37"/>
      <c r="H450" s="38"/>
      <c r="I450" s="37"/>
      <c r="J450" s="39"/>
      <c r="K450" s="39"/>
      <c r="L450" s="39"/>
      <c r="N450" s="17" t="str">
        <f t="shared" ref="N450:N513" si="28">IF(OR($A450="",$I450=""),"",ROUND(($I450-$B450)*24,1))</f>
        <v/>
      </c>
      <c r="O450" s="17" t="str">
        <f t="shared" ref="O450:O513" si="29">IF($A450="","",IF(OR($G450="Won",$G450="Lost"),"Closed","Open"))</f>
        <v/>
      </c>
      <c r="P450" s="17" t="str">
        <f>IF($A450="","",IF($L450&lt;&gt;"",$L450,Settings!$C$3)-INT($B450))</f>
        <v/>
      </c>
      <c r="Q450" s="17" t="str">
        <f>IF($O450&lt;&gt;"Open","",Settings!$C$3-IF($J450&lt;&gt;"",$J450,INT($B450)))</f>
        <v/>
      </c>
      <c r="R450" s="17" t="str">
        <f>IF($A450="","",IF($O450="Closed","Closed",IF($F450="Unassigned","Unassigned",IF(AND($K450&lt;&gt;"",$K450&lt;Settings!$C$3),"Overdue",IF($Q450&gt;=Settings!$C$4,"Inactive","On Track")))))</f>
        <v/>
      </c>
      <c r="S450" s="17" t="str">
        <f t="shared" ref="S450:S513" si="30">IF($O450&lt;&gt;"Open","",IF($P450&lt;=7,"0-7 days",IF($P450&lt;=15,"8-15 days",IF($P450&lt;=30,"16-30 days",IF($P450&lt;=60,"31-60 days","60+ days")))))</f>
        <v/>
      </c>
      <c r="T450" s="36" t="str">
        <f t="shared" ref="T450:T513" si="31">IF($A450="","",DATE(YEAR($B450),MONTH($B450),1))</f>
        <v/>
      </c>
      <c r="U450" s="33">
        <f>IF(AND($O450="Open",OR(Dashboard!$D$3="All",$F450=Dashboard!$D$3)),$H450+ROW()/100000,0)</f>
        <v>0</v>
      </c>
    </row>
    <row r="451" spans="2:21" x14ac:dyDescent="0.25">
      <c r="B451" s="37"/>
      <c r="H451" s="38"/>
      <c r="I451" s="37"/>
      <c r="J451" s="39"/>
      <c r="K451" s="39"/>
      <c r="L451" s="39"/>
      <c r="N451" s="17" t="str">
        <f t="shared" si="28"/>
        <v/>
      </c>
      <c r="O451" s="17" t="str">
        <f t="shared" si="29"/>
        <v/>
      </c>
      <c r="P451" s="17" t="str">
        <f>IF($A451="","",IF($L451&lt;&gt;"",$L451,Settings!$C$3)-INT($B451))</f>
        <v/>
      </c>
      <c r="Q451" s="17" t="str">
        <f>IF($O451&lt;&gt;"Open","",Settings!$C$3-IF($J451&lt;&gt;"",$J451,INT($B451)))</f>
        <v/>
      </c>
      <c r="R451" s="17" t="str">
        <f>IF($A451="","",IF($O451="Closed","Closed",IF($F451="Unassigned","Unassigned",IF(AND($K451&lt;&gt;"",$K451&lt;Settings!$C$3),"Overdue",IF($Q451&gt;=Settings!$C$4,"Inactive","On Track")))))</f>
        <v/>
      </c>
      <c r="S451" s="17" t="str">
        <f t="shared" si="30"/>
        <v/>
      </c>
      <c r="T451" s="36" t="str">
        <f t="shared" si="31"/>
        <v/>
      </c>
      <c r="U451" s="33">
        <f>IF(AND($O451="Open",OR(Dashboard!$D$3="All",$F451=Dashboard!$D$3)),$H451+ROW()/100000,0)</f>
        <v>0</v>
      </c>
    </row>
    <row r="452" spans="2:21" x14ac:dyDescent="0.25">
      <c r="B452" s="37"/>
      <c r="H452" s="38"/>
      <c r="I452" s="37"/>
      <c r="J452" s="39"/>
      <c r="K452" s="39"/>
      <c r="L452" s="39"/>
      <c r="N452" s="17" t="str">
        <f t="shared" si="28"/>
        <v/>
      </c>
      <c r="O452" s="17" t="str">
        <f t="shared" si="29"/>
        <v/>
      </c>
      <c r="P452" s="17" t="str">
        <f>IF($A452="","",IF($L452&lt;&gt;"",$L452,Settings!$C$3)-INT($B452))</f>
        <v/>
      </c>
      <c r="Q452" s="17" t="str">
        <f>IF($O452&lt;&gt;"Open","",Settings!$C$3-IF($J452&lt;&gt;"",$J452,INT($B452)))</f>
        <v/>
      </c>
      <c r="R452" s="17" t="str">
        <f>IF($A452="","",IF($O452="Closed","Closed",IF($F452="Unassigned","Unassigned",IF(AND($K452&lt;&gt;"",$K452&lt;Settings!$C$3),"Overdue",IF($Q452&gt;=Settings!$C$4,"Inactive","On Track")))))</f>
        <v/>
      </c>
      <c r="S452" s="17" t="str">
        <f t="shared" si="30"/>
        <v/>
      </c>
      <c r="T452" s="36" t="str">
        <f t="shared" si="31"/>
        <v/>
      </c>
      <c r="U452" s="33">
        <f>IF(AND($O452="Open",OR(Dashboard!$D$3="All",$F452=Dashboard!$D$3)),$H452+ROW()/100000,0)</f>
        <v>0</v>
      </c>
    </row>
    <row r="453" spans="2:21" x14ac:dyDescent="0.25">
      <c r="B453" s="37"/>
      <c r="H453" s="38"/>
      <c r="I453" s="37"/>
      <c r="J453" s="39"/>
      <c r="K453" s="39"/>
      <c r="L453" s="39"/>
      <c r="N453" s="17" t="str">
        <f t="shared" si="28"/>
        <v/>
      </c>
      <c r="O453" s="17" t="str">
        <f t="shared" si="29"/>
        <v/>
      </c>
      <c r="P453" s="17" t="str">
        <f>IF($A453="","",IF($L453&lt;&gt;"",$L453,Settings!$C$3)-INT($B453))</f>
        <v/>
      </c>
      <c r="Q453" s="17" t="str">
        <f>IF($O453&lt;&gt;"Open","",Settings!$C$3-IF($J453&lt;&gt;"",$J453,INT($B453)))</f>
        <v/>
      </c>
      <c r="R453" s="17" t="str">
        <f>IF($A453="","",IF($O453="Closed","Closed",IF($F453="Unassigned","Unassigned",IF(AND($K453&lt;&gt;"",$K453&lt;Settings!$C$3),"Overdue",IF($Q453&gt;=Settings!$C$4,"Inactive","On Track")))))</f>
        <v/>
      </c>
      <c r="S453" s="17" t="str">
        <f t="shared" si="30"/>
        <v/>
      </c>
      <c r="T453" s="36" t="str">
        <f t="shared" si="31"/>
        <v/>
      </c>
      <c r="U453" s="33">
        <f>IF(AND($O453="Open",OR(Dashboard!$D$3="All",$F453=Dashboard!$D$3)),$H453+ROW()/100000,0)</f>
        <v>0</v>
      </c>
    </row>
    <row r="454" spans="2:21" x14ac:dyDescent="0.25">
      <c r="B454" s="37"/>
      <c r="H454" s="38"/>
      <c r="I454" s="37"/>
      <c r="J454" s="39"/>
      <c r="K454" s="39"/>
      <c r="L454" s="39"/>
      <c r="N454" s="17" t="str">
        <f t="shared" si="28"/>
        <v/>
      </c>
      <c r="O454" s="17" t="str">
        <f t="shared" si="29"/>
        <v/>
      </c>
      <c r="P454" s="17" t="str">
        <f>IF($A454="","",IF($L454&lt;&gt;"",$L454,Settings!$C$3)-INT($B454))</f>
        <v/>
      </c>
      <c r="Q454" s="17" t="str">
        <f>IF($O454&lt;&gt;"Open","",Settings!$C$3-IF($J454&lt;&gt;"",$J454,INT($B454)))</f>
        <v/>
      </c>
      <c r="R454" s="17" t="str">
        <f>IF($A454="","",IF($O454="Closed","Closed",IF($F454="Unassigned","Unassigned",IF(AND($K454&lt;&gt;"",$K454&lt;Settings!$C$3),"Overdue",IF($Q454&gt;=Settings!$C$4,"Inactive","On Track")))))</f>
        <v/>
      </c>
      <c r="S454" s="17" t="str">
        <f t="shared" si="30"/>
        <v/>
      </c>
      <c r="T454" s="36" t="str">
        <f t="shared" si="31"/>
        <v/>
      </c>
      <c r="U454" s="33">
        <f>IF(AND($O454="Open",OR(Dashboard!$D$3="All",$F454=Dashboard!$D$3)),$H454+ROW()/100000,0)</f>
        <v>0</v>
      </c>
    </row>
    <row r="455" spans="2:21" x14ac:dyDescent="0.25">
      <c r="B455" s="37"/>
      <c r="H455" s="38"/>
      <c r="I455" s="37"/>
      <c r="J455" s="39"/>
      <c r="K455" s="39"/>
      <c r="L455" s="39"/>
      <c r="N455" s="17" t="str">
        <f t="shared" si="28"/>
        <v/>
      </c>
      <c r="O455" s="17" t="str">
        <f t="shared" si="29"/>
        <v/>
      </c>
      <c r="P455" s="17" t="str">
        <f>IF($A455="","",IF($L455&lt;&gt;"",$L455,Settings!$C$3)-INT($B455))</f>
        <v/>
      </c>
      <c r="Q455" s="17" t="str">
        <f>IF($O455&lt;&gt;"Open","",Settings!$C$3-IF($J455&lt;&gt;"",$J455,INT($B455)))</f>
        <v/>
      </c>
      <c r="R455" s="17" t="str">
        <f>IF($A455="","",IF($O455="Closed","Closed",IF($F455="Unassigned","Unassigned",IF(AND($K455&lt;&gt;"",$K455&lt;Settings!$C$3),"Overdue",IF($Q455&gt;=Settings!$C$4,"Inactive","On Track")))))</f>
        <v/>
      </c>
      <c r="S455" s="17" t="str">
        <f t="shared" si="30"/>
        <v/>
      </c>
      <c r="T455" s="36" t="str">
        <f t="shared" si="31"/>
        <v/>
      </c>
      <c r="U455" s="33">
        <f>IF(AND($O455="Open",OR(Dashboard!$D$3="All",$F455=Dashboard!$D$3)),$H455+ROW()/100000,0)</f>
        <v>0</v>
      </c>
    </row>
    <row r="456" spans="2:21" x14ac:dyDescent="0.25">
      <c r="B456" s="37"/>
      <c r="H456" s="38"/>
      <c r="I456" s="37"/>
      <c r="J456" s="39"/>
      <c r="K456" s="39"/>
      <c r="L456" s="39"/>
      <c r="N456" s="17" t="str">
        <f t="shared" si="28"/>
        <v/>
      </c>
      <c r="O456" s="17" t="str">
        <f t="shared" si="29"/>
        <v/>
      </c>
      <c r="P456" s="17" t="str">
        <f>IF($A456="","",IF($L456&lt;&gt;"",$L456,Settings!$C$3)-INT($B456))</f>
        <v/>
      </c>
      <c r="Q456" s="17" t="str">
        <f>IF($O456&lt;&gt;"Open","",Settings!$C$3-IF($J456&lt;&gt;"",$J456,INT($B456)))</f>
        <v/>
      </c>
      <c r="R456" s="17" t="str">
        <f>IF($A456="","",IF($O456="Closed","Closed",IF($F456="Unassigned","Unassigned",IF(AND($K456&lt;&gt;"",$K456&lt;Settings!$C$3),"Overdue",IF($Q456&gt;=Settings!$C$4,"Inactive","On Track")))))</f>
        <v/>
      </c>
      <c r="S456" s="17" t="str">
        <f t="shared" si="30"/>
        <v/>
      </c>
      <c r="T456" s="36" t="str">
        <f t="shared" si="31"/>
        <v/>
      </c>
      <c r="U456" s="33">
        <f>IF(AND($O456="Open",OR(Dashboard!$D$3="All",$F456=Dashboard!$D$3)),$H456+ROW()/100000,0)</f>
        <v>0</v>
      </c>
    </row>
    <row r="457" spans="2:21" x14ac:dyDescent="0.25">
      <c r="B457" s="37"/>
      <c r="H457" s="38"/>
      <c r="I457" s="37"/>
      <c r="J457" s="39"/>
      <c r="K457" s="39"/>
      <c r="L457" s="39"/>
      <c r="N457" s="17" t="str">
        <f t="shared" si="28"/>
        <v/>
      </c>
      <c r="O457" s="17" t="str">
        <f t="shared" si="29"/>
        <v/>
      </c>
      <c r="P457" s="17" t="str">
        <f>IF($A457="","",IF($L457&lt;&gt;"",$L457,Settings!$C$3)-INT($B457))</f>
        <v/>
      </c>
      <c r="Q457" s="17" t="str">
        <f>IF($O457&lt;&gt;"Open","",Settings!$C$3-IF($J457&lt;&gt;"",$J457,INT($B457)))</f>
        <v/>
      </c>
      <c r="R457" s="17" t="str">
        <f>IF($A457="","",IF($O457="Closed","Closed",IF($F457="Unassigned","Unassigned",IF(AND($K457&lt;&gt;"",$K457&lt;Settings!$C$3),"Overdue",IF($Q457&gt;=Settings!$C$4,"Inactive","On Track")))))</f>
        <v/>
      </c>
      <c r="S457" s="17" t="str">
        <f t="shared" si="30"/>
        <v/>
      </c>
      <c r="T457" s="36" t="str">
        <f t="shared" si="31"/>
        <v/>
      </c>
      <c r="U457" s="33">
        <f>IF(AND($O457="Open",OR(Dashboard!$D$3="All",$F457=Dashboard!$D$3)),$H457+ROW()/100000,0)</f>
        <v>0</v>
      </c>
    </row>
    <row r="458" spans="2:21" x14ac:dyDescent="0.25">
      <c r="B458" s="37"/>
      <c r="H458" s="38"/>
      <c r="I458" s="37"/>
      <c r="J458" s="39"/>
      <c r="K458" s="39"/>
      <c r="L458" s="39"/>
      <c r="N458" s="17" t="str">
        <f t="shared" si="28"/>
        <v/>
      </c>
      <c r="O458" s="17" t="str">
        <f t="shared" si="29"/>
        <v/>
      </c>
      <c r="P458" s="17" t="str">
        <f>IF($A458="","",IF($L458&lt;&gt;"",$L458,Settings!$C$3)-INT($B458))</f>
        <v/>
      </c>
      <c r="Q458" s="17" t="str">
        <f>IF($O458&lt;&gt;"Open","",Settings!$C$3-IF($J458&lt;&gt;"",$J458,INT($B458)))</f>
        <v/>
      </c>
      <c r="R458" s="17" t="str">
        <f>IF($A458="","",IF($O458="Closed","Closed",IF($F458="Unassigned","Unassigned",IF(AND($K458&lt;&gt;"",$K458&lt;Settings!$C$3),"Overdue",IF($Q458&gt;=Settings!$C$4,"Inactive","On Track")))))</f>
        <v/>
      </c>
      <c r="S458" s="17" t="str">
        <f t="shared" si="30"/>
        <v/>
      </c>
      <c r="T458" s="36" t="str">
        <f t="shared" si="31"/>
        <v/>
      </c>
      <c r="U458" s="33">
        <f>IF(AND($O458="Open",OR(Dashboard!$D$3="All",$F458=Dashboard!$D$3)),$H458+ROW()/100000,0)</f>
        <v>0</v>
      </c>
    </row>
    <row r="459" spans="2:21" x14ac:dyDescent="0.25">
      <c r="B459" s="37"/>
      <c r="H459" s="38"/>
      <c r="I459" s="37"/>
      <c r="J459" s="39"/>
      <c r="K459" s="39"/>
      <c r="L459" s="39"/>
      <c r="N459" s="17" t="str">
        <f t="shared" si="28"/>
        <v/>
      </c>
      <c r="O459" s="17" t="str">
        <f t="shared" si="29"/>
        <v/>
      </c>
      <c r="P459" s="17" t="str">
        <f>IF($A459="","",IF($L459&lt;&gt;"",$L459,Settings!$C$3)-INT($B459))</f>
        <v/>
      </c>
      <c r="Q459" s="17" t="str">
        <f>IF($O459&lt;&gt;"Open","",Settings!$C$3-IF($J459&lt;&gt;"",$J459,INT($B459)))</f>
        <v/>
      </c>
      <c r="R459" s="17" t="str">
        <f>IF($A459="","",IF($O459="Closed","Closed",IF($F459="Unassigned","Unassigned",IF(AND($K459&lt;&gt;"",$K459&lt;Settings!$C$3),"Overdue",IF($Q459&gt;=Settings!$C$4,"Inactive","On Track")))))</f>
        <v/>
      </c>
      <c r="S459" s="17" t="str">
        <f t="shared" si="30"/>
        <v/>
      </c>
      <c r="T459" s="36" t="str">
        <f t="shared" si="31"/>
        <v/>
      </c>
      <c r="U459" s="33">
        <f>IF(AND($O459="Open",OR(Dashboard!$D$3="All",$F459=Dashboard!$D$3)),$H459+ROW()/100000,0)</f>
        <v>0</v>
      </c>
    </row>
    <row r="460" spans="2:21" x14ac:dyDescent="0.25">
      <c r="B460" s="37"/>
      <c r="H460" s="38"/>
      <c r="I460" s="37"/>
      <c r="J460" s="39"/>
      <c r="K460" s="39"/>
      <c r="L460" s="39"/>
      <c r="N460" s="17" t="str">
        <f t="shared" si="28"/>
        <v/>
      </c>
      <c r="O460" s="17" t="str">
        <f t="shared" si="29"/>
        <v/>
      </c>
      <c r="P460" s="17" t="str">
        <f>IF($A460="","",IF($L460&lt;&gt;"",$L460,Settings!$C$3)-INT($B460))</f>
        <v/>
      </c>
      <c r="Q460" s="17" t="str">
        <f>IF($O460&lt;&gt;"Open","",Settings!$C$3-IF($J460&lt;&gt;"",$J460,INT($B460)))</f>
        <v/>
      </c>
      <c r="R460" s="17" t="str">
        <f>IF($A460="","",IF($O460="Closed","Closed",IF($F460="Unassigned","Unassigned",IF(AND($K460&lt;&gt;"",$K460&lt;Settings!$C$3),"Overdue",IF($Q460&gt;=Settings!$C$4,"Inactive","On Track")))))</f>
        <v/>
      </c>
      <c r="S460" s="17" t="str">
        <f t="shared" si="30"/>
        <v/>
      </c>
      <c r="T460" s="36" t="str">
        <f t="shared" si="31"/>
        <v/>
      </c>
      <c r="U460" s="33">
        <f>IF(AND($O460="Open",OR(Dashboard!$D$3="All",$F460=Dashboard!$D$3)),$H460+ROW()/100000,0)</f>
        <v>0</v>
      </c>
    </row>
    <row r="461" spans="2:21" x14ac:dyDescent="0.25">
      <c r="B461" s="37"/>
      <c r="H461" s="38"/>
      <c r="I461" s="37"/>
      <c r="J461" s="39"/>
      <c r="K461" s="39"/>
      <c r="L461" s="39"/>
      <c r="N461" s="17" t="str">
        <f t="shared" si="28"/>
        <v/>
      </c>
      <c r="O461" s="17" t="str">
        <f t="shared" si="29"/>
        <v/>
      </c>
      <c r="P461" s="17" t="str">
        <f>IF($A461="","",IF($L461&lt;&gt;"",$L461,Settings!$C$3)-INT($B461))</f>
        <v/>
      </c>
      <c r="Q461" s="17" t="str">
        <f>IF($O461&lt;&gt;"Open","",Settings!$C$3-IF($J461&lt;&gt;"",$J461,INT($B461)))</f>
        <v/>
      </c>
      <c r="R461" s="17" t="str">
        <f>IF($A461="","",IF($O461="Closed","Closed",IF($F461="Unassigned","Unassigned",IF(AND($K461&lt;&gt;"",$K461&lt;Settings!$C$3),"Overdue",IF($Q461&gt;=Settings!$C$4,"Inactive","On Track")))))</f>
        <v/>
      </c>
      <c r="S461" s="17" t="str">
        <f t="shared" si="30"/>
        <v/>
      </c>
      <c r="T461" s="36" t="str">
        <f t="shared" si="31"/>
        <v/>
      </c>
      <c r="U461" s="33">
        <f>IF(AND($O461="Open",OR(Dashboard!$D$3="All",$F461=Dashboard!$D$3)),$H461+ROW()/100000,0)</f>
        <v>0</v>
      </c>
    </row>
    <row r="462" spans="2:21" x14ac:dyDescent="0.25">
      <c r="B462" s="37"/>
      <c r="H462" s="38"/>
      <c r="I462" s="37"/>
      <c r="J462" s="39"/>
      <c r="K462" s="39"/>
      <c r="L462" s="39"/>
      <c r="N462" s="17" t="str">
        <f t="shared" si="28"/>
        <v/>
      </c>
      <c r="O462" s="17" t="str">
        <f t="shared" si="29"/>
        <v/>
      </c>
      <c r="P462" s="17" t="str">
        <f>IF($A462="","",IF($L462&lt;&gt;"",$L462,Settings!$C$3)-INT($B462))</f>
        <v/>
      </c>
      <c r="Q462" s="17" t="str">
        <f>IF($O462&lt;&gt;"Open","",Settings!$C$3-IF($J462&lt;&gt;"",$J462,INT($B462)))</f>
        <v/>
      </c>
      <c r="R462" s="17" t="str">
        <f>IF($A462="","",IF($O462="Closed","Closed",IF($F462="Unassigned","Unassigned",IF(AND($K462&lt;&gt;"",$K462&lt;Settings!$C$3),"Overdue",IF($Q462&gt;=Settings!$C$4,"Inactive","On Track")))))</f>
        <v/>
      </c>
      <c r="S462" s="17" t="str">
        <f t="shared" si="30"/>
        <v/>
      </c>
      <c r="T462" s="36" t="str">
        <f t="shared" si="31"/>
        <v/>
      </c>
      <c r="U462" s="33">
        <f>IF(AND($O462="Open",OR(Dashboard!$D$3="All",$F462=Dashboard!$D$3)),$H462+ROW()/100000,0)</f>
        <v>0</v>
      </c>
    </row>
    <row r="463" spans="2:21" x14ac:dyDescent="0.25">
      <c r="B463" s="37"/>
      <c r="H463" s="38"/>
      <c r="I463" s="37"/>
      <c r="J463" s="39"/>
      <c r="K463" s="39"/>
      <c r="L463" s="39"/>
      <c r="N463" s="17" t="str">
        <f t="shared" si="28"/>
        <v/>
      </c>
      <c r="O463" s="17" t="str">
        <f t="shared" si="29"/>
        <v/>
      </c>
      <c r="P463" s="17" t="str">
        <f>IF($A463="","",IF($L463&lt;&gt;"",$L463,Settings!$C$3)-INT($B463))</f>
        <v/>
      </c>
      <c r="Q463" s="17" t="str">
        <f>IF($O463&lt;&gt;"Open","",Settings!$C$3-IF($J463&lt;&gt;"",$J463,INT($B463)))</f>
        <v/>
      </c>
      <c r="R463" s="17" t="str">
        <f>IF($A463="","",IF($O463="Closed","Closed",IF($F463="Unassigned","Unassigned",IF(AND($K463&lt;&gt;"",$K463&lt;Settings!$C$3),"Overdue",IF($Q463&gt;=Settings!$C$4,"Inactive","On Track")))))</f>
        <v/>
      </c>
      <c r="S463" s="17" t="str">
        <f t="shared" si="30"/>
        <v/>
      </c>
      <c r="T463" s="36" t="str">
        <f t="shared" si="31"/>
        <v/>
      </c>
      <c r="U463" s="33">
        <f>IF(AND($O463="Open",OR(Dashboard!$D$3="All",$F463=Dashboard!$D$3)),$H463+ROW()/100000,0)</f>
        <v>0</v>
      </c>
    </row>
    <row r="464" spans="2:21" x14ac:dyDescent="0.25">
      <c r="B464" s="37"/>
      <c r="H464" s="38"/>
      <c r="I464" s="37"/>
      <c r="J464" s="39"/>
      <c r="K464" s="39"/>
      <c r="L464" s="39"/>
      <c r="N464" s="17" t="str">
        <f t="shared" si="28"/>
        <v/>
      </c>
      <c r="O464" s="17" t="str">
        <f t="shared" si="29"/>
        <v/>
      </c>
      <c r="P464" s="17" t="str">
        <f>IF($A464="","",IF($L464&lt;&gt;"",$L464,Settings!$C$3)-INT($B464))</f>
        <v/>
      </c>
      <c r="Q464" s="17" t="str">
        <f>IF($O464&lt;&gt;"Open","",Settings!$C$3-IF($J464&lt;&gt;"",$J464,INT($B464)))</f>
        <v/>
      </c>
      <c r="R464" s="17" t="str">
        <f>IF($A464="","",IF($O464="Closed","Closed",IF($F464="Unassigned","Unassigned",IF(AND($K464&lt;&gt;"",$K464&lt;Settings!$C$3),"Overdue",IF($Q464&gt;=Settings!$C$4,"Inactive","On Track")))))</f>
        <v/>
      </c>
      <c r="S464" s="17" t="str">
        <f t="shared" si="30"/>
        <v/>
      </c>
      <c r="T464" s="36" t="str">
        <f t="shared" si="31"/>
        <v/>
      </c>
      <c r="U464" s="33">
        <f>IF(AND($O464="Open",OR(Dashboard!$D$3="All",$F464=Dashboard!$D$3)),$H464+ROW()/100000,0)</f>
        <v>0</v>
      </c>
    </row>
    <row r="465" spans="2:21" x14ac:dyDescent="0.25">
      <c r="B465" s="37"/>
      <c r="H465" s="38"/>
      <c r="I465" s="37"/>
      <c r="J465" s="39"/>
      <c r="K465" s="39"/>
      <c r="L465" s="39"/>
      <c r="N465" s="17" t="str">
        <f t="shared" si="28"/>
        <v/>
      </c>
      <c r="O465" s="17" t="str">
        <f t="shared" si="29"/>
        <v/>
      </c>
      <c r="P465" s="17" t="str">
        <f>IF($A465="","",IF($L465&lt;&gt;"",$L465,Settings!$C$3)-INT($B465))</f>
        <v/>
      </c>
      <c r="Q465" s="17" t="str">
        <f>IF($O465&lt;&gt;"Open","",Settings!$C$3-IF($J465&lt;&gt;"",$J465,INT($B465)))</f>
        <v/>
      </c>
      <c r="R465" s="17" t="str">
        <f>IF($A465="","",IF($O465="Closed","Closed",IF($F465="Unassigned","Unassigned",IF(AND($K465&lt;&gt;"",$K465&lt;Settings!$C$3),"Overdue",IF($Q465&gt;=Settings!$C$4,"Inactive","On Track")))))</f>
        <v/>
      </c>
      <c r="S465" s="17" t="str">
        <f t="shared" si="30"/>
        <v/>
      </c>
      <c r="T465" s="36" t="str">
        <f t="shared" si="31"/>
        <v/>
      </c>
      <c r="U465" s="33">
        <f>IF(AND($O465="Open",OR(Dashboard!$D$3="All",$F465=Dashboard!$D$3)),$H465+ROW()/100000,0)</f>
        <v>0</v>
      </c>
    </row>
    <row r="466" spans="2:21" x14ac:dyDescent="0.25">
      <c r="B466" s="37"/>
      <c r="H466" s="38"/>
      <c r="I466" s="37"/>
      <c r="J466" s="39"/>
      <c r="K466" s="39"/>
      <c r="L466" s="39"/>
      <c r="N466" s="17" t="str">
        <f t="shared" si="28"/>
        <v/>
      </c>
      <c r="O466" s="17" t="str">
        <f t="shared" si="29"/>
        <v/>
      </c>
      <c r="P466" s="17" t="str">
        <f>IF($A466="","",IF($L466&lt;&gt;"",$L466,Settings!$C$3)-INT($B466))</f>
        <v/>
      </c>
      <c r="Q466" s="17" t="str">
        <f>IF($O466&lt;&gt;"Open","",Settings!$C$3-IF($J466&lt;&gt;"",$J466,INT($B466)))</f>
        <v/>
      </c>
      <c r="R466" s="17" t="str">
        <f>IF($A466="","",IF($O466="Closed","Closed",IF($F466="Unassigned","Unassigned",IF(AND($K466&lt;&gt;"",$K466&lt;Settings!$C$3),"Overdue",IF($Q466&gt;=Settings!$C$4,"Inactive","On Track")))))</f>
        <v/>
      </c>
      <c r="S466" s="17" t="str">
        <f t="shared" si="30"/>
        <v/>
      </c>
      <c r="T466" s="36" t="str">
        <f t="shared" si="31"/>
        <v/>
      </c>
      <c r="U466" s="33">
        <f>IF(AND($O466="Open",OR(Dashboard!$D$3="All",$F466=Dashboard!$D$3)),$H466+ROW()/100000,0)</f>
        <v>0</v>
      </c>
    </row>
    <row r="467" spans="2:21" x14ac:dyDescent="0.25">
      <c r="B467" s="37"/>
      <c r="H467" s="38"/>
      <c r="I467" s="37"/>
      <c r="J467" s="39"/>
      <c r="K467" s="39"/>
      <c r="L467" s="39"/>
      <c r="N467" s="17" t="str">
        <f t="shared" si="28"/>
        <v/>
      </c>
      <c r="O467" s="17" t="str">
        <f t="shared" si="29"/>
        <v/>
      </c>
      <c r="P467" s="17" t="str">
        <f>IF($A467="","",IF($L467&lt;&gt;"",$L467,Settings!$C$3)-INT($B467))</f>
        <v/>
      </c>
      <c r="Q467" s="17" t="str">
        <f>IF($O467&lt;&gt;"Open","",Settings!$C$3-IF($J467&lt;&gt;"",$J467,INT($B467)))</f>
        <v/>
      </c>
      <c r="R467" s="17" t="str">
        <f>IF($A467="","",IF($O467="Closed","Closed",IF($F467="Unassigned","Unassigned",IF(AND($K467&lt;&gt;"",$K467&lt;Settings!$C$3),"Overdue",IF($Q467&gt;=Settings!$C$4,"Inactive","On Track")))))</f>
        <v/>
      </c>
      <c r="S467" s="17" t="str">
        <f t="shared" si="30"/>
        <v/>
      </c>
      <c r="T467" s="36" t="str">
        <f t="shared" si="31"/>
        <v/>
      </c>
      <c r="U467" s="33">
        <f>IF(AND($O467="Open",OR(Dashboard!$D$3="All",$F467=Dashboard!$D$3)),$H467+ROW()/100000,0)</f>
        <v>0</v>
      </c>
    </row>
    <row r="468" spans="2:21" x14ac:dyDescent="0.25">
      <c r="B468" s="37"/>
      <c r="H468" s="38"/>
      <c r="I468" s="37"/>
      <c r="J468" s="39"/>
      <c r="K468" s="39"/>
      <c r="L468" s="39"/>
      <c r="N468" s="17" t="str">
        <f t="shared" si="28"/>
        <v/>
      </c>
      <c r="O468" s="17" t="str">
        <f t="shared" si="29"/>
        <v/>
      </c>
      <c r="P468" s="17" t="str">
        <f>IF($A468="","",IF($L468&lt;&gt;"",$L468,Settings!$C$3)-INT($B468))</f>
        <v/>
      </c>
      <c r="Q468" s="17" t="str">
        <f>IF($O468&lt;&gt;"Open","",Settings!$C$3-IF($J468&lt;&gt;"",$J468,INT($B468)))</f>
        <v/>
      </c>
      <c r="R468" s="17" t="str">
        <f>IF($A468="","",IF($O468="Closed","Closed",IF($F468="Unassigned","Unassigned",IF(AND($K468&lt;&gt;"",$K468&lt;Settings!$C$3),"Overdue",IF($Q468&gt;=Settings!$C$4,"Inactive","On Track")))))</f>
        <v/>
      </c>
      <c r="S468" s="17" t="str">
        <f t="shared" si="30"/>
        <v/>
      </c>
      <c r="T468" s="36" t="str">
        <f t="shared" si="31"/>
        <v/>
      </c>
      <c r="U468" s="33">
        <f>IF(AND($O468="Open",OR(Dashboard!$D$3="All",$F468=Dashboard!$D$3)),$H468+ROW()/100000,0)</f>
        <v>0</v>
      </c>
    </row>
    <row r="469" spans="2:21" x14ac:dyDescent="0.25">
      <c r="B469" s="37"/>
      <c r="H469" s="38"/>
      <c r="I469" s="37"/>
      <c r="J469" s="39"/>
      <c r="K469" s="39"/>
      <c r="L469" s="39"/>
      <c r="N469" s="17" t="str">
        <f t="shared" si="28"/>
        <v/>
      </c>
      <c r="O469" s="17" t="str">
        <f t="shared" si="29"/>
        <v/>
      </c>
      <c r="P469" s="17" t="str">
        <f>IF($A469="","",IF($L469&lt;&gt;"",$L469,Settings!$C$3)-INT($B469))</f>
        <v/>
      </c>
      <c r="Q469" s="17" t="str">
        <f>IF($O469&lt;&gt;"Open","",Settings!$C$3-IF($J469&lt;&gt;"",$J469,INT($B469)))</f>
        <v/>
      </c>
      <c r="R469" s="17" t="str">
        <f>IF($A469="","",IF($O469="Closed","Closed",IF($F469="Unassigned","Unassigned",IF(AND($K469&lt;&gt;"",$K469&lt;Settings!$C$3),"Overdue",IF($Q469&gt;=Settings!$C$4,"Inactive","On Track")))))</f>
        <v/>
      </c>
      <c r="S469" s="17" t="str">
        <f t="shared" si="30"/>
        <v/>
      </c>
      <c r="T469" s="36" t="str">
        <f t="shared" si="31"/>
        <v/>
      </c>
      <c r="U469" s="33">
        <f>IF(AND($O469="Open",OR(Dashboard!$D$3="All",$F469=Dashboard!$D$3)),$H469+ROW()/100000,0)</f>
        <v>0</v>
      </c>
    </row>
    <row r="470" spans="2:21" x14ac:dyDescent="0.25">
      <c r="B470" s="37"/>
      <c r="H470" s="38"/>
      <c r="I470" s="37"/>
      <c r="J470" s="39"/>
      <c r="K470" s="39"/>
      <c r="L470" s="39"/>
      <c r="N470" s="17" t="str">
        <f t="shared" si="28"/>
        <v/>
      </c>
      <c r="O470" s="17" t="str">
        <f t="shared" si="29"/>
        <v/>
      </c>
      <c r="P470" s="17" t="str">
        <f>IF($A470="","",IF($L470&lt;&gt;"",$L470,Settings!$C$3)-INT($B470))</f>
        <v/>
      </c>
      <c r="Q470" s="17" t="str">
        <f>IF($O470&lt;&gt;"Open","",Settings!$C$3-IF($J470&lt;&gt;"",$J470,INT($B470)))</f>
        <v/>
      </c>
      <c r="R470" s="17" t="str">
        <f>IF($A470="","",IF($O470="Closed","Closed",IF($F470="Unassigned","Unassigned",IF(AND($K470&lt;&gt;"",$K470&lt;Settings!$C$3),"Overdue",IF($Q470&gt;=Settings!$C$4,"Inactive","On Track")))))</f>
        <v/>
      </c>
      <c r="S470" s="17" t="str">
        <f t="shared" si="30"/>
        <v/>
      </c>
      <c r="T470" s="36" t="str">
        <f t="shared" si="31"/>
        <v/>
      </c>
      <c r="U470" s="33">
        <f>IF(AND($O470="Open",OR(Dashboard!$D$3="All",$F470=Dashboard!$D$3)),$H470+ROW()/100000,0)</f>
        <v>0</v>
      </c>
    </row>
    <row r="471" spans="2:21" x14ac:dyDescent="0.25">
      <c r="B471" s="37"/>
      <c r="H471" s="38"/>
      <c r="I471" s="37"/>
      <c r="J471" s="39"/>
      <c r="K471" s="39"/>
      <c r="L471" s="39"/>
      <c r="N471" s="17" t="str">
        <f t="shared" si="28"/>
        <v/>
      </c>
      <c r="O471" s="17" t="str">
        <f t="shared" si="29"/>
        <v/>
      </c>
      <c r="P471" s="17" t="str">
        <f>IF($A471="","",IF($L471&lt;&gt;"",$L471,Settings!$C$3)-INT($B471))</f>
        <v/>
      </c>
      <c r="Q471" s="17" t="str">
        <f>IF($O471&lt;&gt;"Open","",Settings!$C$3-IF($J471&lt;&gt;"",$J471,INT($B471)))</f>
        <v/>
      </c>
      <c r="R471" s="17" t="str">
        <f>IF($A471="","",IF($O471="Closed","Closed",IF($F471="Unassigned","Unassigned",IF(AND($K471&lt;&gt;"",$K471&lt;Settings!$C$3),"Overdue",IF($Q471&gt;=Settings!$C$4,"Inactive","On Track")))))</f>
        <v/>
      </c>
      <c r="S471" s="17" t="str">
        <f t="shared" si="30"/>
        <v/>
      </c>
      <c r="T471" s="36" t="str">
        <f t="shared" si="31"/>
        <v/>
      </c>
      <c r="U471" s="33">
        <f>IF(AND($O471="Open",OR(Dashboard!$D$3="All",$F471=Dashboard!$D$3)),$H471+ROW()/100000,0)</f>
        <v>0</v>
      </c>
    </row>
    <row r="472" spans="2:21" x14ac:dyDescent="0.25">
      <c r="B472" s="37"/>
      <c r="H472" s="38"/>
      <c r="I472" s="37"/>
      <c r="J472" s="39"/>
      <c r="K472" s="39"/>
      <c r="L472" s="39"/>
      <c r="N472" s="17" t="str">
        <f t="shared" si="28"/>
        <v/>
      </c>
      <c r="O472" s="17" t="str">
        <f t="shared" si="29"/>
        <v/>
      </c>
      <c r="P472" s="17" t="str">
        <f>IF($A472="","",IF($L472&lt;&gt;"",$L472,Settings!$C$3)-INT($B472))</f>
        <v/>
      </c>
      <c r="Q472" s="17" t="str">
        <f>IF($O472&lt;&gt;"Open","",Settings!$C$3-IF($J472&lt;&gt;"",$J472,INT($B472)))</f>
        <v/>
      </c>
      <c r="R472" s="17" t="str">
        <f>IF($A472="","",IF($O472="Closed","Closed",IF($F472="Unassigned","Unassigned",IF(AND($K472&lt;&gt;"",$K472&lt;Settings!$C$3),"Overdue",IF($Q472&gt;=Settings!$C$4,"Inactive","On Track")))))</f>
        <v/>
      </c>
      <c r="S472" s="17" t="str">
        <f t="shared" si="30"/>
        <v/>
      </c>
      <c r="T472" s="36" t="str">
        <f t="shared" si="31"/>
        <v/>
      </c>
      <c r="U472" s="33">
        <f>IF(AND($O472="Open",OR(Dashboard!$D$3="All",$F472=Dashboard!$D$3)),$H472+ROW()/100000,0)</f>
        <v>0</v>
      </c>
    </row>
    <row r="473" spans="2:21" x14ac:dyDescent="0.25">
      <c r="B473" s="37"/>
      <c r="H473" s="38"/>
      <c r="I473" s="37"/>
      <c r="J473" s="39"/>
      <c r="K473" s="39"/>
      <c r="L473" s="39"/>
      <c r="N473" s="17" t="str">
        <f t="shared" si="28"/>
        <v/>
      </c>
      <c r="O473" s="17" t="str">
        <f t="shared" si="29"/>
        <v/>
      </c>
      <c r="P473" s="17" t="str">
        <f>IF($A473="","",IF($L473&lt;&gt;"",$L473,Settings!$C$3)-INT($B473))</f>
        <v/>
      </c>
      <c r="Q473" s="17" t="str">
        <f>IF($O473&lt;&gt;"Open","",Settings!$C$3-IF($J473&lt;&gt;"",$J473,INT($B473)))</f>
        <v/>
      </c>
      <c r="R473" s="17" t="str">
        <f>IF($A473="","",IF($O473="Closed","Closed",IF($F473="Unassigned","Unassigned",IF(AND($K473&lt;&gt;"",$K473&lt;Settings!$C$3),"Overdue",IF($Q473&gt;=Settings!$C$4,"Inactive","On Track")))))</f>
        <v/>
      </c>
      <c r="S473" s="17" t="str">
        <f t="shared" si="30"/>
        <v/>
      </c>
      <c r="T473" s="36" t="str">
        <f t="shared" si="31"/>
        <v/>
      </c>
      <c r="U473" s="33">
        <f>IF(AND($O473="Open",OR(Dashboard!$D$3="All",$F473=Dashboard!$D$3)),$H473+ROW()/100000,0)</f>
        <v>0</v>
      </c>
    </row>
    <row r="474" spans="2:21" x14ac:dyDescent="0.25">
      <c r="B474" s="37"/>
      <c r="H474" s="38"/>
      <c r="I474" s="37"/>
      <c r="J474" s="39"/>
      <c r="K474" s="39"/>
      <c r="L474" s="39"/>
      <c r="N474" s="17" t="str">
        <f t="shared" si="28"/>
        <v/>
      </c>
      <c r="O474" s="17" t="str">
        <f t="shared" si="29"/>
        <v/>
      </c>
      <c r="P474" s="17" t="str">
        <f>IF($A474="","",IF($L474&lt;&gt;"",$L474,Settings!$C$3)-INT($B474))</f>
        <v/>
      </c>
      <c r="Q474" s="17" t="str">
        <f>IF($O474&lt;&gt;"Open","",Settings!$C$3-IF($J474&lt;&gt;"",$J474,INT($B474)))</f>
        <v/>
      </c>
      <c r="R474" s="17" t="str">
        <f>IF($A474="","",IF($O474="Closed","Closed",IF($F474="Unassigned","Unassigned",IF(AND($K474&lt;&gt;"",$K474&lt;Settings!$C$3),"Overdue",IF($Q474&gt;=Settings!$C$4,"Inactive","On Track")))))</f>
        <v/>
      </c>
      <c r="S474" s="17" t="str">
        <f t="shared" si="30"/>
        <v/>
      </c>
      <c r="T474" s="36" t="str">
        <f t="shared" si="31"/>
        <v/>
      </c>
      <c r="U474" s="33">
        <f>IF(AND($O474="Open",OR(Dashboard!$D$3="All",$F474=Dashboard!$D$3)),$H474+ROW()/100000,0)</f>
        <v>0</v>
      </c>
    </row>
    <row r="475" spans="2:21" x14ac:dyDescent="0.25">
      <c r="B475" s="37"/>
      <c r="H475" s="38"/>
      <c r="I475" s="37"/>
      <c r="J475" s="39"/>
      <c r="K475" s="39"/>
      <c r="L475" s="39"/>
      <c r="N475" s="17" t="str">
        <f t="shared" si="28"/>
        <v/>
      </c>
      <c r="O475" s="17" t="str">
        <f t="shared" si="29"/>
        <v/>
      </c>
      <c r="P475" s="17" t="str">
        <f>IF($A475="","",IF($L475&lt;&gt;"",$L475,Settings!$C$3)-INT($B475))</f>
        <v/>
      </c>
      <c r="Q475" s="17" t="str">
        <f>IF($O475&lt;&gt;"Open","",Settings!$C$3-IF($J475&lt;&gt;"",$J475,INT($B475)))</f>
        <v/>
      </c>
      <c r="R475" s="17" t="str">
        <f>IF($A475="","",IF($O475="Closed","Closed",IF($F475="Unassigned","Unassigned",IF(AND($K475&lt;&gt;"",$K475&lt;Settings!$C$3),"Overdue",IF($Q475&gt;=Settings!$C$4,"Inactive","On Track")))))</f>
        <v/>
      </c>
      <c r="S475" s="17" t="str">
        <f t="shared" si="30"/>
        <v/>
      </c>
      <c r="T475" s="36" t="str">
        <f t="shared" si="31"/>
        <v/>
      </c>
      <c r="U475" s="33">
        <f>IF(AND($O475="Open",OR(Dashboard!$D$3="All",$F475=Dashboard!$D$3)),$H475+ROW()/100000,0)</f>
        <v>0</v>
      </c>
    </row>
    <row r="476" spans="2:21" x14ac:dyDescent="0.25">
      <c r="B476" s="37"/>
      <c r="H476" s="38"/>
      <c r="I476" s="37"/>
      <c r="J476" s="39"/>
      <c r="K476" s="39"/>
      <c r="L476" s="39"/>
      <c r="N476" s="17" t="str">
        <f t="shared" si="28"/>
        <v/>
      </c>
      <c r="O476" s="17" t="str">
        <f t="shared" si="29"/>
        <v/>
      </c>
      <c r="P476" s="17" t="str">
        <f>IF($A476="","",IF($L476&lt;&gt;"",$L476,Settings!$C$3)-INT($B476))</f>
        <v/>
      </c>
      <c r="Q476" s="17" t="str">
        <f>IF($O476&lt;&gt;"Open","",Settings!$C$3-IF($J476&lt;&gt;"",$J476,INT($B476)))</f>
        <v/>
      </c>
      <c r="R476" s="17" t="str">
        <f>IF($A476="","",IF($O476="Closed","Closed",IF($F476="Unassigned","Unassigned",IF(AND($K476&lt;&gt;"",$K476&lt;Settings!$C$3),"Overdue",IF($Q476&gt;=Settings!$C$4,"Inactive","On Track")))))</f>
        <v/>
      </c>
      <c r="S476" s="17" t="str">
        <f t="shared" si="30"/>
        <v/>
      </c>
      <c r="T476" s="36" t="str">
        <f t="shared" si="31"/>
        <v/>
      </c>
      <c r="U476" s="33">
        <f>IF(AND($O476="Open",OR(Dashboard!$D$3="All",$F476=Dashboard!$D$3)),$H476+ROW()/100000,0)</f>
        <v>0</v>
      </c>
    </row>
    <row r="477" spans="2:21" x14ac:dyDescent="0.25">
      <c r="B477" s="37"/>
      <c r="H477" s="38"/>
      <c r="I477" s="37"/>
      <c r="J477" s="39"/>
      <c r="K477" s="39"/>
      <c r="L477" s="39"/>
      <c r="N477" s="17" t="str">
        <f t="shared" si="28"/>
        <v/>
      </c>
      <c r="O477" s="17" t="str">
        <f t="shared" si="29"/>
        <v/>
      </c>
      <c r="P477" s="17" t="str">
        <f>IF($A477="","",IF($L477&lt;&gt;"",$L477,Settings!$C$3)-INT($B477))</f>
        <v/>
      </c>
      <c r="Q477" s="17" t="str">
        <f>IF($O477&lt;&gt;"Open","",Settings!$C$3-IF($J477&lt;&gt;"",$J477,INT($B477)))</f>
        <v/>
      </c>
      <c r="R477" s="17" t="str">
        <f>IF($A477="","",IF($O477="Closed","Closed",IF($F477="Unassigned","Unassigned",IF(AND($K477&lt;&gt;"",$K477&lt;Settings!$C$3),"Overdue",IF($Q477&gt;=Settings!$C$4,"Inactive","On Track")))))</f>
        <v/>
      </c>
      <c r="S477" s="17" t="str">
        <f t="shared" si="30"/>
        <v/>
      </c>
      <c r="T477" s="36" t="str">
        <f t="shared" si="31"/>
        <v/>
      </c>
      <c r="U477" s="33">
        <f>IF(AND($O477="Open",OR(Dashboard!$D$3="All",$F477=Dashboard!$D$3)),$H477+ROW()/100000,0)</f>
        <v>0</v>
      </c>
    </row>
    <row r="478" spans="2:21" x14ac:dyDescent="0.25">
      <c r="B478" s="37"/>
      <c r="H478" s="38"/>
      <c r="I478" s="37"/>
      <c r="J478" s="39"/>
      <c r="K478" s="39"/>
      <c r="L478" s="39"/>
      <c r="N478" s="17" t="str">
        <f t="shared" si="28"/>
        <v/>
      </c>
      <c r="O478" s="17" t="str">
        <f t="shared" si="29"/>
        <v/>
      </c>
      <c r="P478" s="17" t="str">
        <f>IF($A478="","",IF($L478&lt;&gt;"",$L478,Settings!$C$3)-INT($B478))</f>
        <v/>
      </c>
      <c r="Q478" s="17" t="str">
        <f>IF($O478&lt;&gt;"Open","",Settings!$C$3-IF($J478&lt;&gt;"",$J478,INT($B478)))</f>
        <v/>
      </c>
      <c r="R478" s="17" t="str">
        <f>IF($A478="","",IF($O478="Closed","Closed",IF($F478="Unassigned","Unassigned",IF(AND($K478&lt;&gt;"",$K478&lt;Settings!$C$3),"Overdue",IF($Q478&gt;=Settings!$C$4,"Inactive","On Track")))))</f>
        <v/>
      </c>
      <c r="S478" s="17" t="str">
        <f t="shared" si="30"/>
        <v/>
      </c>
      <c r="T478" s="36" t="str">
        <f t="shared" si="31"/>
        <v/>
      </c>
      <c r="U478" s="33">
        <f>IF(AND($O478="Open",OR(Dashboard!$D$3="All",$F478=Dashboard!$D$3)),$H478+ROW()/100000,0)</f>
        <v>0</v>
      </c>
    </row>
    <row r="479" spans="2:21" x14ac:dyDescent="0.25">
      <c r="B479" s="37"/>
      <c r="H479" s="38"/>
      <c r="I479" s="37"/>
      <c r="J479" s="39"/>
      <c r="K479" s="39"/>
      <c r="L479" s="39"/>
      <c r="N479" s="17" t="str">
        <f t="shared" si="28"/>
        <v/>
      </c>
      <c r="O479" s="17" t="str">
        <f t="shared" si="29"/>
        <v/>
      </c>
      <c r="P479" s="17" t="str">
        <f>IF($A479="","",IF($L479&lt;&gt;"",$L479,Settings!$C$3)-INT($B479))</f>
        <v/>
      </c>
      <c r="Q479" s="17" t="str">
        <f>IF($O479&lt;&gt;"Open","",Settings!$C$3-IF($J479&lt;&gt;"",$J479,INT($B479)))</f>
        <v/>
      </c>
      <c r="R479" s="17" t="str">
        <f>IF($A479="","",IF($O479="Closed","Closed",IF($F479="Unassigned","Unassigned",IF(AND($K479&lt;&gt;"",$K479&lt;Settings!$C$3),"Overdue",IF($Q479&gt;=Settings!$C$4,"Inactive","On Track")))))</f>
        <v/>
      </c>
      <c r="S479" s="17" t="str">
        <f t="shared" si="30"/>
        <v/>
      </c>
      <c r="T479" s="36" t="str">
        <f t="shared" si="31"/>
        <v/>
      </c>
      <c r="U479" s="33">
        <f>IF(AND($O479="Open",OR(Dashboard!$D$3="All",$F479=Dashboard!$D$3)),$H479+ROW()/100000,0)</f>
        <v>0</v>
      </c>
    </row>
    <row r="480" spans="2:21" x14ac:dyDescent="0.25">
      <c r="B480" s="37"/>
      <c r="H480" s="38"/>
      <c r="I480" s="37"/>
      <c r="J480" s="39"/>
      <c r="K480" s="39"/>
      <c r="L480" s="39"/>
      <c r="N480" s="17" t="str">
        <f t="shared" si="28"/>
        <v/>
      </c>
      <c r="O480" s="17" t="str">
        <f t="shared" si="29"/>
        <v/>
      </c>
      <c r="P480" s="17" t="str">
        <f>IF($A480="","",IF($L480&lt;&gt;"",$L480,Settings!$C$3)-INT($B480))</f>
        <v/>
      </c>
      <c r="Q480" s="17" t="str">
        <f>IF($O480&lt;&gt;"Open","",Settings!$C$3-IF($J480&lt;&gt;"",$J480,INT($B480)))</f>
        <v/>
      </c>
      <c r="R480" s="17" t="str">
        <f>IF($A480="","",IF($O480="Closed","Closed",IF($F480="Unassigned","Unassigned",IF(AND($K480&lt;&gt;"",$K480&lt;Settings!$C$3),"Overdue",IF($Q480&gt;=Settings!$C$4,"Inactive","On Track")))))</f>
        <v/>
      </c>
      <c r="S480" s="17" t="str">
        <f t="shared" si="30"/>
        <v/>
      </c>
      <c r="T480" s="36" t="str">
        <f t="shared" si="31"/>
        <v/>
      </c>
      <c r="U480" s="33">
        <f>IF(AND($O480="Open",OR(Dashboard!$D$3="All",$F480=Dashboard!$D$3)),$H480+ROW()/100000,0)</f>
        <v>0</v>
      </c>
    </row>
    <row r="481" spans="2:21" x14ac:dyDescent="0.25">
      <c r="B481" s="37"/>
      <c r="H481" s="38"/>
      <c r="I481" s="37"/>
      <c r="J481" s="39"/>
      <c r="K481" s="39"/>
      <c r="L481" s="39"/>
      <c r="N481" s="17" t="str">
        <f t="shared" si="28"/>
        <v/>
      </c>
      <c r="O481" s="17" t="str">
        <f t="shared" si="29"/>
        <v/>
      </c>
      <c r="P481" s="17" t="str">
        <f>IF($A481="","",IF($L481&lt;&gt;"",$L481,Settings!$C$3)-INT($B481))</f>
        <v/>
      </c>
      <c r="Q481" s="17" t="str">
        <f>IF($O481&lt;&gt;"Open","",Settings!$C$3-IF($J481&lt;&gt;"",$J481,INT($B481)))</f>
        <v/>
      </c>
      <c r="R481" s="17" t="str">
        <f>IF($A481="","",IF($O481="Closed","Closed",IF($F481="Unassigned","Unassigned",IF(AND($K481&lt;&gt;"",$K481&lt;Settings!$C$3),"Overdue",IF($Q481&gt;=Settings!$C$4,"Inactive","On Track")))))</f>
        <v/>
      </c>
      <c r="S481" s="17" t="str">
        <f t="shared" si="30"/>
        <v/>
      </c>
      <c r="T481" s="36" t="str">
        <f t="shared" si="31"/>
        <v/>
      </c>
      <c r="U481" s="33">
        <f>IF(AND($O481="Open",OR(Dashboard!$D$3="All",$F481=Dashboard!$D$3)),$H481+ROW()/100000,0)</f>
        <v>0</v>
      </c>
    </row>
    <row r="482" spans="2:21" x14ac:dyDescent="0.25">
      <c r="B482" s="37"/>
      <c r="H482" s="38"/>
      <c r="I482" s="37"/>
      <c r="J482" s="39"/>
      <c r="K482" s="39"/>
      <c r="L482" s="39"/>
      <c r="N482" s="17" t="str">
        <f t="shared" si="28"/>
        <v/>
      </c>
      <c r="O482" s="17" t="str">
        <f t="shared" si="29"/>
        <v/>
      </c>
      <c r="P482" s="17" t="str">
        <f>IF($A482="","",IF($L482&lt;&gt;"",$L482,Settings!$C$3)-INT($B482))</f>
        <v/>
      </c>
      <c r="Q482" s="17" t="str">
        <f>IF($O482&lt;&gt;"Open","",Settings!$C$3-IF($J482&lt;&gt;"",$J482,INT($B482)))</f>
        <v/>
      </c>
      <c r="R482" s="17" t="str">
        <f>IF($A482="","",IF($O482="Closed","Closed",IF($F482="Unassigned","Unassigned",IF(AND($K482&lt;&gt;"",$K482&lt;Settings!$C$3),"Overdue",IF($Q482&gt;=Settings!$C$4,"Inactive","On Track")))))</f>
        <v/>
      </c>
      <c r="S482" s="17" t="str">
        <f t="shared" si="30"/>
        <v/>
      </c>
      <c r="T482" s="36" t="str">
        <f t="shared" si="31"/>
        <v/>
      </c>
      <c r="U482" s="33">
        <f>IF(AND($O482="Open",OR(Dashboard!$D$3="All",$F482=Dashboard!$D$3)),$H482+ROW()/100000,0)</f>
        <v>0</v>
      </c>
    </row>
    <row r="483" spans="2:21" x14ac:dyDescent="0.25">
      <c r="B483" s="37"/>
      <c r="H483" s="38"/>
      <c r="I483" s="37"/>
      <c r="J483" s="39"/>
      <c r="K483" s="39"/>
      <c r="L483" s="39"/>
      <c r="N483" s="17" t="str">
        <f t="shared" si="28"/>
        <v/>
      </c>
      <c r="O483" s="17" t="str">
        <f t="shared" si="29"/>
        <v/>
      </c>
      <c r="P483" s="17" t="str">
        <f>IF($A483="","",IF($L483&lt;&gt;"",$L483,Settings!$C$3)-INT($B483))</f>
        <v/>
      </c>
      <c r="Q483" s="17" t="str">
        <f>IF($O483&lt;&gt;"Open","",Settings!$C$3-IF($J483&lt;&gt;"",$J483,INT($B483)))</f>
        <v/>
      </c>
      <c r="R483" s="17" t="str">
        <f>IF($A483="","",IF($O483="Closed","Closed",IF($F483="Unassigned","Unassigned",IF(AND($K483&lt;&gt;"",$K483&lt;Settings!$C$3),"Overdue",IF($Q483&gt;=Settings!$C$4,"Inactive","On Track")))))</f>
        <v/>
      </c>
      <c r="S483" s="17" t="str">
        <f t="shared" si="30"/>
        <v/>
      </c>
      <c r="T483" s="36" t="str">
        <f t="shared" si="31"/>
        <v/>
      </c>
      <c r="U483" s="33">
        <f>IF(AND($O483="Open",OR(Dashboard!$D$3="All",$F483=Dashboard!$D$3)),$H483+ROW()/100000,0)</f>
        <v>0</v>
      </c>
    </row>
    <row r="484" spans="2:21" x14ac:dyDescent="0.25">
      <c r="B484" s="37"/>
      <c r="H484" s="38"/>
      <c r="I484" s="37"/>
      <c r="J484" s="39"/>
      <c r="K484" s="39"/>
      <c r="L484" s="39"/>
      <c r="N484" s="17" t="str">
        <f t="shared" si="28"/>
        <v/>
      </c>
      <c r="O484" s="17" t="str">
        <f t="shared" si="29"/>
        <v/>
      </c>
      <c r="P484" s="17" t="str">
        <f>IF($A484="","",IF($L484&lt;&gt;"",$L484,Settings!$C$3)-INT($B484))</f>
        <v/>
      </c>
      <c r="Q484" s="17" t="str">
        <f>IF($O484&lt;&gt;"Open","",Settings!$C$3-IF($J484&lt;&gt;"",$J484,INT($B484)))</f>
        <v/>
      </c>
      <c r="R484" s="17" t="str">
        <f>IF($A484="","",IF($O484="Closed","Closed",IF($F484="Unassigned","Unassigned",IF(AND($K484&lt;&gt;"",$K484&lt;Settings!$C$3),"Overdue",IF($Q484&gt;=Settings!$C$4,"Inactive","On Track")))))</f>
        <v/>
      </c>
      <c r="S484" s="17" t="str">
        <f t="shared" si="30"/>
        <v/>
      </c>
      <c r="T484" s="36" t="str">
        <f t="shared" si="31"/>
        <v/>
      </c>
      <c r="U484" s="33">
        <f>IF(AND($O484="Open",OR(Dashboard!$D$3="All",$F484=Dashboard!$D$3)),$H484+ROW()/100000,0)</f>
        <v>0</v>
      </c>
    </row>
    <row r="485" spans="2:21" x14ac:dyDescent="0.25">
      <c r="B485" s="37"/>
      <c r="H485" s="38"/>
      <c r="I485" s="37"/>
      <c r="J485" s="39"/>
      <c r="K485" s="39"/>
      <c r="L485" s="39"/>
      <c r="N485" s="17" t="str">
        <f t="shared" si="28"/>
        <v/>
      </c>
      <c r="O485" s="17" t="str">
        <f t="shared" si="29"/>
        <v/>
      </c>
      <c r="P485" s="17" t="str">
        <f>IF($A485="","",IF($L485&lt;&gt;"",$L485,Settings!$C$3)-INT($B485))</f>
        <v/>
      </c>
      <c r="Q485" s="17" t="str">
        <f>IF($O485&lt;&gt;"Open","",Settings!$C$3-IF($J485&lt;&gt;"",$J485,INT($B485)))</f>
        <v/>
      </c>
      <c r="R485" s="17" t="str">
        <f>IF($A485="","",IF($O485="Closed","Closed",IF($F485="Unassigned","Unassigned",IF(AND($K485&lt;&gt;"",$K485&lt;Settings!$C$3),"Overdue",IF($Q485&gt;=Settings!$C$4,"Inactive","On Track")))))</f>
        <v/>
      </c>
      <c r="S485" s="17" t="str">
        <f t="shared" si="30"/>
        <v/>
      </c>
      <c r="T485" s="36" t="str">
        <f t="shared" si="31"/>
        <v/>
      </c>
      <c r="U485" s="33">
        <f>IF(AND($O485="Open",OR(Dashboard!$D$3="All",$F485=Dashboard!$D$3)),$H485+ROW()/100000,0)</f>
        <v>0</v>
      </c>
    </row>
    <row r="486" spans="2:21" x14ac:dyDescent="0.25">
      <c r="B486" s="37"/>
      <c r="H486" s="38"/>
      <c r="I486" s="37"/>
      <c r="J486" s="39"/>
      <c r="K486" s="39"/>
      <c r="L486" s="39"/>
      <c r="N486" s="17" t="str">
        <f t="shared" si="28"/>
        <v/>
      </c>
      <c r="O486" s="17" t="str">
        <f t="shared" si="29"/>
        <v/>
      </c>
      <c r="P486" s="17" t="str">
        <f>IF($A486="","",IF($L486&lt;&gt;"",$L486,Settings!$C$3)-INT($B486))</f>
        <v/>
      </c>
      <c r="Q486" s="17" t="str">
        <f>IF($O486&lt;&gt;"Open","",Settings!$C$3-IF($J486&lt;&gt;"",$J486,INT($B486)))</f>
        <v/>
      </c>
      <c r="R486" s="17" t="str">
        <f>IF($A486="","",IF($O486="Closed","Closed",IF($F486="Unassigned","Unassigned",IF(AND($K486&lt;&gt;"",$K486&lt;Settings!$C$3),"Overdue",IF($Q486&gt;=Settings!$C$4,"Inactive","On Track")))))</f>
        <v/>
      </c>
      <c r="S486" s="17" t="str">
        <f t="shared" si="30"/>
        <v/>
      </c>
      <c r="T486" s="36" t="str">
        <f t="shared" si="31"/>
        <v/>
      </c>
      <c r="U486" s="33">
        <f>IF(AND($O486="Open",OR(Dashboard!$D$3="All",$F486=Dashboard!$D$3)),$H486+ROW()/100000,0)</f>
        <v>0</v>
      </c>
    </row>
    <row r="487" spans="2:21" x14ac:dyDescent="0.25">
      <c r="B487" s="37"/>
      <c r="H487" s="38"/>
      <c r="I487" s="37"/>
      <c r="J487" s="39"/>
      <c r="K487" s="39"/>
      <c r="L487" s="39"/>
      <c r="N487" s="17" t="str">
        <f t="shared" si="28"/>
        <v/>
      </c>
      <c r="O487" s="17" t="str">
        <f t="shared" si="29"/>
        <v/>
      </c>
      <c r="P487" s="17" t="str">
        <f>IF($A487="","",IF($L487&lt;&gt;"",$L487,Settings!$C$3)-INT($B487))</f>
        <v/>
      </c>
      <c r="Q487" s="17" t="str">
        <f>IF($O487&lt;&gt;"Open","",Settings!$C$3-IF($J487&lt;&gt;"",$J487,INT($B487)))</f>
        <v/>
      </c>
      <c r="R487" s="17" t="str">
        <f>IF($A487="","",IF($O487="Closed","Closed",IF($F487="Unassigned","Unassigned",IF(AND($K487&lt;&gt;"",$K487&lt;Settings!$C$3),"Overdue",IF($Q487&gt;=Settings!$C$4,"Inactive","On Track")))))</f>
        <v/>
      </c>
      <c r="S487" s="17" t="str">
        <f t="shared" si="30"/>
        <v/>
      </c>
      <c r="T487" s="36" t="str">
        <f t="shared" si="31"/>
        <v/>
      </c>
      <c r="U487" s="33">
        <f>IF(AND($O487="Open",OR(Dashboard!$D$3="All",$F487=Dashboard!$D$3)),$H487+ROW()/100000,0)</f>
        <v>0</v>
      </c>
    </row>
    <row r="488" spans="2:21" x14ac:dyDescent="0.25">
      <c r="B488" s="37"/>
      <c r="H488" s="38"/>
      <c r="I488" s="37"/>
      <c r="J488" s="39"/>
      <c r="K488" s="39"/>
      <c r="L488" s="39"/>
      <c r="N488" s="17" t="str">
        <f t="shared" si="28"/>
        <v/>
      </c>
      <c r="O488" s="17" t="str">
        <f t="shared" si="29"/>
        <v/>
      </c>
      <c r="P488" s="17" t="str">
        <f>IF($A488="","",IF($L488&lt;&gt;"",$L488,Settings!$C$3)-INT($B488))</f>
        <v/>
      </c>
      <c r="Q488" s="17" t="str">
        <f>IF($O488&lt;&gt;"Open","",Settings!$C$3-IF($J488&lt;&gt;"",$J488,INT($B488)))</f>
        <v/>
      </c>
      <c r="R488" s="17" t="str">
        <f>IF($A488="","",IF($O488="Closed","Closed",IF($F488="Unassigned","Unassigned",IF(AND($K488&lt;&gt;"",$K488&lt;Settings!$C$3),"Overdue",IF($Q488&gt;=Settings!$C$4,"Inactive","On Track")))))</f>
        <v/>
      </c>
      <c r="S488" s="17" t="str">
        <f t="shared" si="30"/>
        <v/>
      </c>
      <c r="T488" s="36" t="str">
        <f t="shared" si="31"/>
        <v/>
      </c>
      <c r="U488" s="33">
        <f>IF(AND($O488="Open",OR(Dashboard!$D$3="All",$F488=Dashboard!$D$3)),$H488+ROW()/100000,0)</f>
        <v>0</v>
      </c>
    </row>
    <row r="489" spans="2:21" x14ac:dyDescent="0.25">
      <c r="B489" s="37"/>
      <c r="H489" s="38"/>
      <c r="I489" s="37"/>
      <c r="J489" s="39"/>
      <c r="K489" s="39"/>
      <c r="L489" s="39"/>
      <c r="N489" s="17" t="str">
        <f t="shared" si="28"/>
        <v/>
      </c>
      <c r="O489" s="17" t="str">
        <f t="shared" si="29"/>
        <v/>
      </c>
      <c r="P489" s="17" t="str">
        <f>IF($A489="","",IF($L489&lt;&gt;"",$L489,Settings!$C$3)-INT($B489))</f>
        <v/>
      </c>
      <c r="Q489" s="17" t="str">
        <f>IF($O489&lt;&gt;"Open","",Settings!$C$3-IF($J489&lt;&gt;"",$J489,INT($B489)))</f>
        <v/>
      </c>
      <c r="R489" s="17" t="str">
        <f>IF($A489="","",IF($O489="Closed","Closed",IF($F489="Unassigned","Unassigned",IF(AND($K489&lt;&gt;"",$K489&lt;Settings!$C$3),"Overdue",IF($Q489&gt;=Settings!$C$4,"Inactive","On Track")))))</f>
        <v/>
      </c>
      <c r="S489" s="17" t="str">
        <f t="shared" si="30"/>
        <v/>
      </c>
      <c r="T489" s="36" t="str">
        <f t="shared" si="31"/>
        <v/>
      </c>
      <c r="U489" s="33">
        <f>IF(AND($O489="Open",OR(Dashboard!$D$3="All",$F489=Dashboard!$D$3)),$H489+ROW()/100000,0)</f>
        <v>0</v>
      </c>
    </row>
    <row r="490" spans="2:21" x14ac:dyDescent="0.25">
      <c r="B490" s="37"/>
      <c r="H490" s="38"/>
      <c r="I490" s="37"/>
      <c r="J490" s="39"/>
      <c r="K490" s="39"/>
      <c r="L490" s="39"/>
      <c r="N490" s="17" t="str">
        <f t="shared" si="28"/>
        <v/>
      </c>
      <c r="O490" s="17" t="str">
        <f t="shared" si="29"/>
        <v/>
      </c>
      <c r="P490" s="17" t="str">
        <f>IF($A490="","",IF($L490&lt;&gt;"",$L490,Settings!$C$3)-INT($B490))</f>
        <v/>
      </c>
      <c r="Q490" s="17" t="str">
        <f>IF($O490&lt;&gt;"Open","",Settings!$C$3-IF($J490&lt;&gt;"",$J490,INT($B490)))</f>
        <v/>
      </c>
      <c r="R490" s="17" t="str">
        <f>IF($A490="","",IF($O490="Closed","Closed",IF($F490="Unassigned","Unassigned",IF(AND($K490&lt;&gt;"",$K490&lt;Settings!$C$3),"Overdue",IF($Q490&gt;=Settings!$C$4,"Inactive","On Track")))))</f>
        <v/>
      </c>
      <c r="S490" s="17" t="str">
        <f t="shared" si="30"/>
        <v/>
      </c>
      <c r="T490" s="36" t="str">
        <f t="shared" si="31"/>
        <v/>
      </c>
      <c r="U490" s="33">
        <f>IF(AND($O490="Open",OR(Dashboard!$D$3="All",$F490=Dashboard!$D$3)),$H490+ROW()/100000,0)</f>
        <v>0</v>
      </c>
    </row>
    <row r="491" spans="2:21" x14ac:dyDescent="0.25">
      <c r="B491" s="37"/>
      <c r="H491" s="38"/>
      <c r="I491" s="37"/>
      <c r="J491" s="39"/>
      <c r="K491" s="39"/>
      <c r="L491" s="39"/>
      <c r="N491" s="17" t="str">
        <f t="shared" si="28"/>
        <v/>
      </c>
      <c r="O491" s="17" t="str">
        <f t="shared" si="29"/>
        <v/>
      </c>
      <c r="P491" s="17" t="str">
        <f>IF($A491="","",IF($L491&lt;&gt;"",$L491,Settings!$C$3)-INT($B491))</f>
        <v/>
      </c>
      <c r="Q491" s="17" t="str">
        <f>IF($O491&lt;&gt;"Open","",Settings!$C$3-IF($J491&lt;&gt;"",$J491,INT($B491)))</f>
        <v/>
      </c>
      <c r="R491" s="17" t="str">
        <f>IF($A491="","",IF($O491="Closed","Closed",IF($F491="Unassigned","Unassigned",IF(AND($K491&lt;&gt;"",$K491&lt;Settings!$C$3),"Overdue",IF($Q491&gt;=Settings!$C$4,"Inactive","On Track")))))</f>
        <v/>
      </c>
      <c r="S491" s="17" t="str">
        <f t="shared" si="30"/>
        <v/>
      </c>
      <c r="T491" s="36" t="str">
        <f t="shared" si="31"/>
        <v/>
      </c>
      <c r="U491" s="33">
        <f>IF(AND($O491="Open",OR(Dashboard!$D$3="All",$F491=Dashboard!$D$3)),$H491+ROW()/100000,0)</f>
        <v>0</v>
      </c>
    </row>
    <row r="492" spans="2:21" x14ac:dyDescent="0.25">
      <c r="B492" s="37"/>
      <c r="H492" s="38"/>
      <c r="I492" s="37"/>
      <c r="J492" s="39"/>
      <c r="K492" s="39"/>
      <c r="L492" s="39"/>
      <c r="N492" s="17" t="str">
        <f t="shared" si="28"/>
        <v/>
      </c>
      <c r="O492" s="17" t="str">
        <f t="shared" si="29"/>
        <v/>
      </c>
      <c r="P492" s="17" t="str">
        <f>IF($A492="","",IF($L492&lt;&gt;"",$L492,Settings!$C$3)-INT($B492))</f>
        <v/>
      </c>
      <c r="Q492" s="17" t="str">
        <f>IF($O492&lt;&gt;"Open","",Settings!$C$3-IF($J492&lt;&gt;"",$J492,INT($B492)))</f>
        <v/>
      </c>
      <c r="R492" s="17" t="str">
        <f>IF($A492="","",IF($O492="Closed","Closed",IF($F492="Unassigned","Unassigned",IF(AND($K492&lt;&gt;"",$K492&lt;Settings!$C$3),"Overdue",IF($Q492&gt;=Settings!$C$4,"Inactive","On Track")))))</f>
        <v/>
      </c>
      <c r="S492" s="17" t="str">
        <f t="shared" si="30"/>
        <v/>
      </c>
      <c r="T492" s="36" t="str">
        <f t="shared" si="31"/>
        <v/>
      </c>
      <c r="U492" s="33">
        <f>IF(AND($O492="Open",OR(Dashboard!$D$3="All",$F492=Dashboard!$D$3)),$H492+ROW()/100000,0)</f>
        <v>0</v>
      </c>
    </row>
    <row r="493" spans="2:21" x14ac:dyDescent="0.25">
      <c r="B493" s="37"/>
      <c r="H493" s="38"/>
      <c r="I493" s="37"/>
      <c r="J493" s="39"/>
      <c r="K493" s="39"/>
      <c r="L493" s="39"/>
      <c r="N493" s="17" t="str">
        <f t="shared" si="28"/>
        <v/>
      </c>
      <c r="O493" s="17" t="str">
        <f t="shared" si="29"/>
        <v/>
      </c>
      <c r="P493" s="17" t="str">
        <f>IF($A493="","",IF($L493&lt;&gt;"",$L493,Settings!$C$3)-INT($B493))</f>
        <v/>
      </c>
      <c r="Q493" s="17" t="str">
        <f>IF($O493&lt;&gt;"Open","",Settings!$C$3-IF($J493&lt;&gt;"",$J493,INT($B493)))</f>
        <v/>
      </c>
      <c r="R493" s="17" t="str">
        <f>IF($A493="","",IF($O493="Closed","Closed",IF($F493="Unassigned","Unassigned",IF(AND($K493&lt;&gt;"",$K493&lt;Settings!$C$3),"Overdue",IF($Q493&gt;=Settings!$C$4,"Inactive","On Track")))))</f>
        <v/>
      </c>
      <c r="S493" s="17" t="str">
        <f t="shared" si="30"/>
        <v/>
      </c>
      <c r="T493" s="36" t="str">
        <f t="shared" si="31"/>
        <v/>
      </c>
      <c r="U493" s="33">
        <f>IF(AND($O493="Open",OR(Dashboard!$D$3="All",$F493=Dashboard!$D$3)),$H493+ROW()/100000,0)</f>
        <v>0</v>
      </c>
    </row>
    <row r="494" spans="2:21" x14ac:dyDescent="0.25">
      <c r="B494" s="37"/>
      <c r="H494" s="38"/>
      <c r="I494" s="37"/>
      <c r="J494" s="39"/>
      <c r="K494" s="39"/>
      <c r="L494" s="39"/>
      <c r="N494" s="17" t="str">
        <f t="shared" si="28"/>
        <v/>
      </c>
      <c r="O494" s="17" t="str">
        <f t="shared" si="29"/>
        <v/>
      </c>
      <c r="P494" s="17" t="str">
        <f>IF($A494="","",IF($L494&lt;&gt;"",$L494,Settings!$C$3)-INT($B494))</f>
        <v/>
      </c>
      <c r="Q494" s="17" t="str">
        <f>IF($O494&lt;&gt;"Open","",Settings!$C$3-IF($J494&lt;&gt;"",$J494,INT($B494)))</f>
        <v/>
      </c>
      <c r="R494" s="17" t="str">
        <f>IF($A494="","",IF($O494="Closed","Closed",IF($F494="Unassigned","Unassigned",IF(AND($K494&lt;&gt;"",$K494&lt;Settings!$C$3),"Overdue",IF($Q494&gt;=Settings!$C$4,"Inactive","On Track")))))</f>
        <v/>
      </c>
      <c r="S494" s="17" t="str">
        <f t="shared" si="30"/>
        <v/>
      </c>
      <c r="T494" s="36" t="str">
        <f t="shared" si="31"/>
        <v/>
      </c>
      <c r="U494" s="33">
        <f>IF(AND($O494="Open",OR(Dashboard!$D$3="All",$F494=Dashboard!$D$3)),$H494+ROW()/100000,0)</f>
        <v>0</v>
      </c>
    </row>
    <row r="495" spans="2:21" x14ac:dyDescent="0.25">
      <c r="B495" s="37"/>
      <c r="H495" s="38"/>
      <c r="I495" s="37"/>
      <c r="J495" s="39"/>
      <c r="K495" s="39"/>
      <c r="L495" s="39"/>
      <c r="N495" s="17" t="str">
        <f t="shared" si="28"/>
        <v/>
      </c>
      <c r="O495" s="17" t="str">
        <f t="shared" si="29"/>
        <v/>
      </c>
      <c r="P495" s="17" t="str">
        <f>IF($A495="","",IF($L495&lt;&gt;"",$L495,Settings!$C$3)-INT($B495))</f>
        <v/>
      </c>
      <c r="Q495" s="17" t="str">
        <f>IF($O495&lt;&gt;"Open","",Settings!$C$3-IF($J495&lt;&gt;"",$J495,INT($B495)))</f>
        <v/>
      </c>
      <c r="R495" s="17" t="str">
        <f>IF($A495="","",IF($O495="Closed","Closed",IF($F495="Unassigned","Unassigned",IF(AND($K495&lt;&gt;"",$K495&lt;Settings!$C$3),"Overdue",IF($Q495&gt;=Settings!$C$4,"Inactive","On Track")))))</f>
        <v/>
      </c>
      <c r="S495" s="17" t="str">
        <f t="shared" si="30"/>
        <v/>
      </c>
      <c r="T495" s="36" t="str">
        <f t="shared" si="31"/>
        <v/>
      </c>
      <c r="U495" s="33">
        <f>IF(AND($O495="Open",OR(Dashboard!$D$3="All",$F495=Dashboard!$D$3)),$H495+ROW()/100000,0)</f>
        <v>0</v>
      </c>
    </row>
    <row r="496" spans="2:21" x14ac:dyDescent="0.25">
      <c r="B496" s="37"/>
      <c r="H496" s="38"/>
      <c r="I496" s="37"/>
      <c r="J496" s="39"/>
      <c r="K496" s="39"/>
      <c r="L496" s="39"/>
      <c r="N496" s="17" t="str">
        <f t="shared" si="28"/>
        <v/>
      </c>
      <c r="O496" s="17" t="str">
        <f t="shared" si="29"/>
        <v/>
      </c>
      <c r="P496" s="17" t="str">
        <f>IF($A496="","",IF($L496&lt;&gt;"",$L496,Settings!$C$3)-INT($B496))</f>
        <v/>
      </c>
      <c r="Q496" s="17" t="str">
        <f>IF($O496&lt;&gt;"Open","",Settings!$C$3-IF($J496&lt;&gt;"",$J496,INT($B496)))</f>
        <v/>
      </c>
      <c r="R496" s="17" t="str">
        <f>IF($A496="","",IF($O496="Closed","Closed",IF($F496="Unassigned","Unassigned",IF(AND($K496&lt;&gt;"",$K496&lt;Settings!$C$3),"Overdue",IF($Q496&gt;=Settings!$C$4,"Inactive","On Track")))))</f>
        <v/>
      </c>
      <c r="S496" s="17" t="str">
        <f t="shared" si="30"/>
        <v/>
      </c>
      <c r="T496" s="36" t="str">
        <f t="shared" si="31"/>
        <v/>
      </c>
      <c r="U496" s="33">
        <f>IF(AND($O496="Open",OR(Dashboard!$D$3="All",$F496=Dashboard!$D$3)),$H496+ROW()/100000,0)</f>
        <v>0</v>
      </c>
    </row>
    <row r="497" spans="2:21" x14ac:dyDescent="0.25">
      <c r="B497" s="37"/>
      <c r="H497" s="38"/>
      <c r="I497" s="37"/>
      <c r="J497" s="39"/>
      <c r="K497" s="39"/>
      <c r="L497" s="39"/>
      <c r="N497" s="17" t="str">
        <f t="shared" si="28"/>
        <v/>
      </c>
      <c r="O497" s="17" t="str">
        <f t="shared" si="29"/>
        <v/>
      </c>
      <c r="P497" s="17" t="str">
        <f>IF($A497="","",IF($L497&lt;&gt;"",$L497,Settings!$C$3)-INT($B497))</f>
        <v/>
      </c>
      <c r="Q497" s="17" t="str">
        <f>IF($O497&lt;&gt;"Open","",Settings!$C$3-IF($J497&lt;&gt;"",$J497,INT($B497)))</f>
        <v/>
      </c>
      <c r="R497" s="17" t="str">
        <f>IF($A497="","",IF($O497="Closed","Closed",IF($F497="Unassigned","Unassigned",IF(AND($K497&lt;&gt;"",$K497&lt;Settings!$C$3),"Overdue",IF($Q497&gt;=Settings!$C$4,"Inactive","On Track")))))</f>
        <v/>
      </c>
      <c r="S497" s="17" t="str">
        <f t="shared" si="30"/>
        <v/>
      </c>
      <c r="T497" s="36" t="str">
        <f t="shared" si="31"/>
        <v/>
      </c>
      <c r="U497" s="33">
        <f>IF(AND($O497="Open",OR(Dashboard!$D$3="All",$F497=Dashboard!$D$3)),$H497+ROW()/100000,0)</f>
        <v>0</v>
      </c>
    </row>
    <row r="498" spans="2:21" x14ac:dyDescent="0.25">
      <c r="B498" s="37"/>
      <c r="H498" s="38"/>
      <c r="I498" s="37"/>
      <c r="J498" s="39"/>
      <c r="K498" s="39"/>
      <c r="L498" s="39"/>
      <c r="N498" s="17" t="str">
        <f t="shared" si="28"/>
        <v/>
      </c>
      <c r="O498" s="17" t="str">
        <f t="shared" si="29"/>
        <v/>
      </c>
      <c r="P498" s="17" t="str">
        <f>IF($A498="","",IF($L498&lt;&gt;"",$L498,Settings!$C$3)-INT($B498))</f>
        <v/>
      </c>
      <c r="Q498" s="17" t="str">
        <f>IF($O498&lt;&gt;"Open","",Settings!$C$3-IF($J498&lt;&gt;"",$J498,INT($B498)))</f>
        <v/>
      </c>
      <c r="R498" s="17" t="str">
        <f>IF($A498="","",IF($O498="Closed","Closed",IF($F498="Unassigned","Unassigned",IF(AND($K498&lt;&gt;"",$K498&lt;Settings!$C$3),"Overdue",IF($Q498&gt;=Settings!$C$4,"Inactive","On Track")))))</f>
        <v/>
      </c>
      <c r="S498" s="17" t="str">
        <f t="shared" si="30"/>
        <v/>
      </c>
      <c r="T498" s="36" t="str">
        <f t="shared" si="31"/>
        <v/>
      </c>
      <c r="U498" s="33">
        <f>IF(AND($O498="Open",OR(Dashboard!$D$3="All",$F498=Dashboard!$D$3)),$H498+ROW()/100000,0)</f>
        <v>0</v>
      </c>
    </row>
    <row r="499" spans="2:21" x14ac:dyDescent="0.25">
      <c r="B499" s="37"/>
      <c r="H499" s="38"/>
      <c r="I499" s="37"/>
      <c r="J499" s="39"/>
      <c r="K499" s="39"/>
      <c r="L499" s="39"/>
      <c r="N499" s="17" t="str">
        <f t="shared" si="28"/>
        <v/>
      </c>
      <c r="O499" s="17" t="str">
        <f t="shared" si="29"/>
        <v/>
      </c>
      <c r="P499" s="17" t="str">
        <f>IF($A499="","",IF($L499&lt;&gt;"",$L499,Settings!$C$3)-INT($B499))</f>
        <v/>
      </c>
      <c r="Q499" s="17" t="str">
        <f>IF($O499&lt;&gt;"Open","",Settings!$C$3-IF($J499&lt;&gt;"",$J499,INT($B499)))</f>
        <v/>
      </c>
      <c r="R499" s="17" t="str">
        <f>IF($A499="","",IF($O499="Closed","Closed",IF($F499="Unassigned","Unassigned",IF(AND($K499&lt;&gt;"",$K499&lt;Settings!$C$3),"Overdue",IF($Q499&gt;=Settings!$C$4,"Inactive","On Track")))))</f>
        <v/>
      </c>
      <c r="S499" s="17" t="str">
        <f t="shared" si="30"/>
        <v/>
      </c>
      <c r="T499" s="36" t="str">
        <f t="shared" si="31"/>
        <v/>
      </c>
      <c r="U499" s="33">
        <f>IF(AND($O499="Open",OR(Dashboard!$D$3="All",$F499=Dashboard!$D$3)),$H499+ROW()/100000,0)</f>
        <v>0</v>
      </c>
    </row>
    <row r="500" spans="2:21" x14ac:dyDescent="0.25">
      <c r="B500" s="37"/>
      <c r="H500" s="38"/>
      <c r="I500" s="37"/>
      <c r="J500" s="39"/>
      <c r="K500" s="39"/>
      <c r="L500" s="39"/>
      <c r="N500" s="17" t="str">
        <f t="shared" si="28"/>
        <v/>
      </c>
      <c r="O500" s="17" t="str">
        <f t="shared" si="29"/>
        <v/>
      </c>
      <c r="P500" s="17" t="str">
        <f>IF($A500="","",IF($L500&lt;&gt;"",$L500,Settings!$C$3)-INT($B500))</f>
        <v/>
      </c>
      <c r="Q500" s="17" t="str">
        <f>IF($O500&lt;&gt;"Open","",Settings!$C$3-IF($J500&lt;&gt;"",$J500,INT($B500)))</f>
        <v/>
      </c>
      <c r="R500" s="17" t="str">
        <f>IF($A500="","",IF($O500="Closed","Closed",IF($F500="Unassigned","Unassigned",IF(AND($K500&lt;&gt;"",$K500&lt;Settings!$C$3),"Overdue",IF($Q500&gt;=Settings!$C$4,"Inactive","On Track")))))</f>
        <v/>
      </c>
      <c r="S500" s="17" t="str">
        <f t="shared" si="30"/>
        <v/>
      </c>
      <c r="T500" s="36" t="str">
        <f t="shared" si="31"/>
        <v/>
      </c>
      <c r="U500" s="33">
        <f>IF(AND($O500="Open",OR(Dashboard!$D$3="All",$F500=Dashboard!$D$3)),$H500+ROW()/100000,0)</f>
        <v>0</v>
      </c>
    </row>
    <row r="501" spans="2:21" x14ac:dyDescent="0.25">
      <c r="B501" s="37"/>
      <c r="H501" s="38"/>
      <c r="I501" s="37"/>
      <c r="J501" s="39"/>
      <c r="K501" s="39"/>
      <c r="L501" s="39"/>
      <c r="N501" s="17" t="str">
        <f t="shared" si="28"/>
        <v/>
      </c>
      <c r="O501" s="17" t="str">
        <f t="shared" si="29"/>
        <v/>
      </c>
      <c r="P501" s="17" t="str">
        <f>IF($A501="","",IF($L501&lt;&gt;"",$L501,Settings!$C$3)-INT($B501))</f>
        <v/>
      </c>
      <c r="Q501" s="17" t="str">
        <f>IF($O501&lt;&gt;"Open","",Settings!$C$3-IF($J501&lt;&gt;"",$J501,INT($B501)))</f>
        <v/>
      </c>
      <c r="R501" s="17" t="str">
        <f>IF($A501="","",IF($O501="Closed","Closed",IF($F501="Unassigned","Unassigned",IF(AND($K501&lt;&gt;"",$K501&lt;Settings!$C$3),"Overdue",IF($Q501&gt;=Settings!$C$4,"Inactive","On Track")))))</f>
        <v/>
      </c>
      <c r="S501" s="17" t="str">
        <f t="shared" si="30"/>
        <v/>
      </c>
      <c r="T501" s="36" t="str">
        <f t="shared" si="31"/>
        <v/>
      </c>
      <c r="U501" s="33">
        <f>IF(AND($O501="Open",OR(Dashboard!$D$3="All",$F501=Dashboard!$D$3)),$H501+ROW()/100000,0)</f>
        <v>0</v>
      </c>
    </row>
    <row r="502" spans="2:21" x14ac:dyDescent="0.25">
      <c r="B502" s="37"/>
      <c r="H502" s="38"/>
      <c r="I502" s="37"/>
      <c r="J502" s="39"/>
      <c r="K502" s="39"/>
      <c r="L502" s="39"/>
      <c r="N502" s="17" t="str">
        <f t="shared" si="28"/>
        <v/>
      </c>
      <c r="O502" s="17" t="str">
        <f t="shared" si="29"/>
        <v/>
      </c>
      <c r="P502" s="17" t="str">
        <f>IF($A502="","",IF($L502&lt;&gt;"",$L502,Settings!$C$3)-INT($B502))</f>
        <v/>
      </c>
      <c r="Q502" s="17" t="str">
        <f>IF($O502&lt;&gt;"Open","",Settings!$C$3-IF($J502&lt;&gt;"",$J502,INT($B502)))</f>
        <v/>
      </c>
      <c r="R502" s="17" t="str">
        <f>IF($A502="","",IF($O502="Closed","Closed",IF($F502="Unassigned","Unassigned",IF(AND($K502&lt;&gt;"",$K502&lt;Settings!$C$3),"Overdue",IF($Q502&gt;=Settings!$C$4,"Inactive","On Track")))))</f>
        <v/>
      </c>
      <c r="S502" s="17" t="str">
        <f t="shared" si="30"/>
        <v/>
      </c>
      <c r="T502" s="36" t="str">
        <f t="shared" si="31"/>
        <v/>
      </c>
      <c r="U502" s="33">
        <f>IF(AND($O502="Open",OR(Dashboard!$D$3="All",$F502=Dashboard!$D$3)),$H502+ROW()/100000,0)</f>
        <v>0</v>
      </c>
    </row>
    <row r="503" spans="2:21" x14ac:dyDescent="0.25">
      <c r="B503" s="37"/>
      <c r="H503" s="38"/>
      <c r="I503" s="37"/>
      <c r="J503" s="39"/>
      <c r="K503" s="39"/>
      <c r="L503" s="39"/>
      <c r="N503" s="17" t="str">
        <f t="shared" si="28"/>
        <v/>
      </c>
      <c r="O503" s="17" t="str">
        <f t="shared" si="29"/>
        <v/>
      </c>
      <c r="P503" s="17" t="str">
        <f>IF($A503="","",IF($L503&lt;&gt;"",$L503,Settings!$C$3)-INT($B503))</f>
        <v/>
      </c>
      <c r="Q503" s="17" t="str">
        <f>IF($O503&lt;&gt;"Open","",Settings!$C$3-IF($J503&lt;&gt;"",$J503,INT($B503)))</f>
        <v/>
      </c>
      <c r="R503" s="17" t="str">
        <f>IF($A503="","",IF($O503="Closed","Closed",IF($F503="Unassigned","Unassigned",IF(AND($K503&lt;&gt;"",$K503&lt;Settings!$C$3),"Overdue",IF($Q503&gt;=Settings!$C$4,"Inactive","On Track")))))</f>
        <v/>
      </c>
      <c r="S503" s="17" t="str">
        <f t="shared" si="30"/>
        <v/>
      </c>
      <c r="T503" s="36" t="str">
        <f t="shared" si="31"/>
        <v/>
      </c>
      <c r="U503" s="33">
        <f>IF(AND($O503="Open",OR(Dashboard!$D$3="All",$F503=Dashboard!$D$3)),$H503+ROW()/100000,0)</f>
        <v>0</v>
      </c>
    </row>
    <row r="504" spans="2:21" x14ac:dyDescent="0.25">
      <c r="B504" s="37"/>
      <c r="H504" s="38"/>
      <c r="I504" s="37"/>
      <c r="J504" s="39"/>
      <c r="K504" s="39"/>
      <c r="L504" s="39"/>
      <c r="N504" s="17" t="str">
        <f t="shared" si="28"/>
        <v/>
      </c>
      <c r="O504" s="17" t="str">
        <f t="shared" si="29"/>
        <v/>
      </c>
      <c r="P504" s="17" t="str">
        <f>IF($A504="","",IF($L504&lt;&gt;"",$L504,Settings!$C$3)-INT($B504))</f>
        <v/>
      </c>
      <c r="Q504" s="17" t="str">
        <f>IF($O504&lt;&gt;"Open","",Settings!$C$3-IF($J504&lt;&gt;"",$J504,INT($B504)))</f>
        <v/>
      </c>
      <c r="R504" s="17" t="str">
        <f>IF($A504="","",IF($O504="Closed","Closed",IF($F504="Unassigned","Unassigned",IF(AND($K504&lt;&gt;"",$K504&lt;Settings!$C$3),"Overdue",IF($Q504&gt;=Settings!$C$4,"Inactive","On Track")))))</f>
        <v/>
      </c>
      <c r="S504" s="17" t="str">
        <f t="shared" si="30"/>
        <v/>
      </c>
      <c r="T504" s="36" t="str">
        <f t="shared" si="31"/>
        <v/>
      </c>
      <c r="U504" s="33">
        <f>IF(AND($O504="Open",OR(Dashboard!$D$3="All",$F504=Dashboard!$D$3)),$H504+ROW()/100000,0)</f>
        <v>0</v>
      </c>
    </row>
    <row r="505" spans="2:21" x14ac:dyDescent="0.25">
      <c r="B505" s="37"/>
      <c r="H505" s="38"/>
      <c r="I505" s="37"/>
      <c r="J505" s="39"/>
      <c r="K505" s="39"/>
      <c r="L505" s="39"/>
      <c r="N505" s="17" t="str">
        <f t="shared" si="28"/>
        <v/>
      </c>
      <c r="O505" s="17" t="str">
        <f t="shared" si="29"/>
        <v/>
      </c>
      <c r="P505" s="17" t="str">
        <f>IF($A505="","",IF($L505&lt;&gt;"",$L505,Settings!$C$3)-INT($B505))</f>
        <v/>
      </c>
      <c r="Q505" s="17" t="str">
        <f>IF($O505&lt;&gt;"Open","",Settings!$C$3-IF($J505&lt;&gt;"",$J505,INT($B505)))</f>
        <v/>
      </c>
      <c r="R505" s="17" t="str">
        <f>IF($A505="","",IF($O505="Closed","Closed",IF($F505="Unassigned","Unassigned",IF(AND($K505&lt;&gt;"",$K505&lt;Settings!$C$3),"Overdue",IF($Q505&gt;=Settings!$C$4,"Inactive","On Track")))))</f>
        <v/>
      </c>
      <c r="S505" s="17" t="str">
        <f t="shared" si="30"/>
        <v/>
      </c>
      <c r="T505" s="36" t="str">
        <f t="shared" si="31"/>
        <v/>
      </c>
      <c r="U505" s="33">
        <f>IF(AND($O505="Open",OR(Dashboard!$D$3="All",$F505=Dashboard!$D$3)),$H505+ROW()/100000,0)</f>
        <v>0</v>
      </c>
    </row>
    <row r="506" spans="2:21" x14ac:dyDescent="0.25">
      <c r="B506" s="37"/>
      <c r="H506" s="38"/>
      <c r="I506" s="37"/>
      <c r="J506" s="39"/>
      <c r="K506" s="39"/>
      <c r="L506" s="39"/>
      <c r="N506" s="17" t="str">
        <f t="shared" si="28"/>
        <v/>
      </c>
      <c r="O506" s="17" t="str">
        <f t="shared" si="29"/>
        <v/>
      </c>
      <c r="P506" s="17" t="str">
        <f>IF($A506="","",IF($L506&lt;&gt;"",$L506,Settings!$C$3)-INT($B506))</f>
        <v/>
      </c>
      <c r="Q506" s="17" t="str">
        <f>IF($O506&lt;&gt;"Open","",Settings!$C$3-IF($J506&lt;&gt;"",$J506,INT($B506)))</f>
        <v/>
      </c>
      <c r="R506" s="17" t="str">
        <f>IF($A506="","",IF($O506="Closed","Closed",IF($F506="Unassigned","Unassigned",IF(AND($K506&lt;&gt;"",$K506&lt;Settings!$C$3),"Overdue",IF($Q506&gt;=Settings!$C$4,"Inactive","On Track")))))</f>
        <v/>
      </c>
      <c r="S506" s="17" t="str">
        <f t="shared" si="30"/>
        <v/>
      </c>
      <c r="T506" s="36" t="str">
        <f t="shared" si="31"/>
        <v/>
      </c>
      <c r="U506" s="33">
        <f>IF(AND($O506="Open",OR(Dashboard!$D$3="All",$F506=Dashboard!$D$3)),$H506+ROW()/100000,0)</f>
        <v>0</v>
      </c>
    </row>
    <row r="507" spans="2:21" x14ac:dyDescent="0.25">
      <c r="B507" s="37"/>
      <c r="H507" s="38"/>
      <c r="I507" s="37"/>
      <c r="J507" s="39"/>
      <c r="K507" s="39"/>
      <c r="L507" s="39"/>
      <c r="N507" s="17" t="str">
        <f t="shared" si="28"/>
        <v/>
      </c>
      <c r="O507" s="17" t="str">
        <f t="shared" si="29"/>
        <v/>
      </c>
      <c r="P507" s="17" t="str">
        <f>IF($A507="","",IF($L507&lt;&gt;"",$L507,Settings!$C$3)-INT($B507))</f>
        <v/>
      </c>
      <c r="Q507" s="17" t="str">
        <f>IF($O507&lt;&gt;"Open","",Settings!$C$3-IF($J507&lt;&gt;"",$J507,INT($B507)))</f>
        <v/>
      </c>
      <c r="R507" s="17" t="str">
        <f>IF($A507="","",IF($O507="Closed","Closed",IF($F507="Unassigned","Unassigned",IF(AND($K507&lt;&gt;"",$K507&lt;Settings!$C$3),"Overdue",IF($Q507&gt;=Settings!$C$4,"Inactive","On Track")))))</f>
        <v/>
      </c>
      <c r="S507" s="17" t="str">
        <f t="shared" si="30"/>
        <v/>
      </c>
      <c r="T507" s="36" t="str">
        <f t="shared" si="31"/>
        <v/>
      </c>
      <c r="U507" s="33">
        <f>IF(AND($O507="Open",OR(Dashboard!$D$3="All",$F507=Dashboard!$D$3)),$H507+ROW()/100000,0)</f>
        <v>0</v>
      </c>
    </row>
    <row r="508" spans="2:21" x14ac:dyDescent="0.25">
      <c r="B508" s="37"/>
      <c r="H508" s="38"/>
      <c r="I508" s="37"/>
      <c r="J508" s="39"/>
      <c r="K508" s="39"/>
      <c r="L508" s="39"/>
      <c r="N508" s="17" t="str">
        <f t="shared" si="28"/>
        <v/>
      </c>
      <c r="O508" s="17" t="str">
        <f t="shared" si="29"/>
        <v/>
      </c>
      <c r="P508" s="17" t="str">
        <f>IF($A508="","",IF($L508&lt;&gt;"",$L508,Settings!$C$3)-INT($B508))</f>
        <v/>
      </c>
      <c r="Q508" s="17" t="str">
        <f>IF($O508&lt;&gt;"Open","",Settings!$C$3-IF($J508&lt;&gt;"",$J508,INT($B508)))</f>
        <v/>
      </c>
      <c r="R508" s="17" t="str">
        <f>IF($A508="","",IF($O508="Closed","Closed",IF($F508="Unassigned","Unassigned",IF(AND($K508&lt;&gt;"",$K508&lt;Settings!$C$3),"Overdue",IF($Q508&gt;=Settings!$C$4,"Inactive","On Track")))))</f>
        <v/>
      </c>
      <c r="S508" s="17" t="str">
        <f t="shared" si="30"/>
        <v/>
      </c>
      <c r="T508" s="36" t="str">
        <f t="shared" si="31"/>
        <v/>
      </c>
      <c r="U508" s="33">
        <f>IF(AND($O508="Open",OR(Dashboard!$D$3="All",$F508=Dashboard!$D$3)),$H508+ROW()/100000,0)</f>
        <v>0</v>
      </c>
    </row>
    <row r="509" spans="2:21" x14ac:dyDescent="0.25">
      <c r="B509" s="37"/>
      <c r="H509" s="38"/>
      <c r="I509" s="37"/>
      <c r="J509" s="39"/>
      <c r="K509" s="39"/>
      <c r="L509" s="39"/>
      <c r="N509" s="17" t="str">
        <f t="shared" si="28"/>
        <v/>
      </c>
      <c r="O509" s="17" t="str">
        <f t="shared" si="29"/>
        <v/>
      </c>
      <c r="P509" s="17" t="str">
        <f>IF($A509="","",IF($L509&lt;&gt;"",$L509,Settings!$C$3)-INT($B509))</f>
        <v/>
      </c>
      <c r="Q509" s="17" t="str">
        <f>IF($O509&lt;&gt;"Open","",Settings!$C$3-IF($J509&lt;&gt;"",$J509,INT($B509)))</f>
        <v/>
      </c>
      <c r="R509" s="17" t="str">
        <f>IF($A509="","",IF($O509="Closed","Closed",IF($F509="Unassigned","Unassigned",IF(AND($K509&lt;&gt;"",$K509&lt;Settings!$C$3),"Overdue",IF($Q509&gt;=Settings!$C$4,"Inactive","On Track")))))</f>
        <v/>
      </c>
      <c r="S509" s="17" t="str">
        <f t="shared" si="30"/>
        <v/>
      </c>
      <c r="T509" s="36" t="str">
        <f t="shared" si="31"/>
        <v/>
      </c>
      <c r="U509" s="33">
        <f>IF(AND($O509="Open",OR(Dashboard!$D$3="All",$F509=Dashboard!$D$3)),$H509+ROW()/100000,0)</f>
        <v>0</v>
      </c>
    </row>
    <row r="510" spans="2:21" x14ac:dyDescent="0.25">
      <c r="B510" s="37"/>
      <c r="H510" s="38"/>
      <c r="I510" s="37"/>
      <c r="J510" s="39"/>
      <c r="K510" s="39"/>
      <c r="L510" s="39"/>
      <c r="N510" s="17" t="str">
        <f t="shared" si="28"/>
        <v/>
      </c>
      <c r="O510" s="17" t="str">
        <f t="shared" si="29"/>
        <v/>
      </c>
      <c r="P510" s="17" t="str">
        <f>IF($A510="","",IF($L510&lt;&gt;"",$L510,Settings!$C$3)-INT($B510))</f>
        <v/>
      </c>
      <c r="Q510" s="17" t="str">
        <f>IF($O510&lt;&gt;"Open","",Settings!$C$3-IF($J510&lt;&gt;"",$J510,INT($B510)))</f>
        <v/>
      </c>
      <c r="R510" s="17" t="str">
        <f>IF($A510="","",IF($O510="Closed","Closed",IF($F510="Unassigned","Unassigned",IF(AND($K510&lt;&gt;"",$K510&lt;Settings!$C$3),"Overdue",IF($Q510&gt;=Settings!$C$4,"Inactive","On Track")))))</f>
        <v/>
      </c>
      <c r="S510" s="17" t="str">
        <f t="shared" si="30"/>
        <v/>
      </c>
      <c r="T510" s="36" t="str">
        <f t="shared" si="31"/>
        <v/>
      </c>
      <c r="U510" s="33">
        <f>IF(AND($O510="Open",OR(Dashboard!$D$3="All",$F510=Dashboard!$D$3)),$H510+ROW()/100000,0)</f>
        <v>0</v>
      </c>
    </row>
    <row r="511" spans="2:21" x14ac:dyDescent="0.25">
      <c r="B511" s="37"/>
      <c r="H511" s="38"/>
      <c r="I511" s="37"/>
      <c r="J511" s="39"/>
      <c r="K511" s="39"/>
      <c r="L511" s="39"/>
      <c r="N511" s="17" t="str">
        <f t="shared" si="28"/>
        <v/>
      </c>
      <c r="O511" s="17" t="str">
        <f t="shared" si="29"/>
        <v/>
      </c>
      <c r="P511" s="17" t="str">
        <f>IF($A511="","",IF($L511&lt;&gt;"",$L511,Settings!$C$3)-INT($B511))</f>
        <v/>
      </c>
      <c r="Q511" s="17" t="str">
        <f>IF($O511&lt;&gt;"Open","",Settings!$C$3-IF($J511&lt;&gt;"",$J511,INT($B511)))</f>
        <v/>
      </c>
      <c r="R511" s="17" t="str">
        <f>IF($A511="","",IF($O511="Closed","Closed",IF($F511="Unassigned","Unassigned",IF(AND($K511&lt;&gt;"",$K511&lt;Settings!$C$3),"Overdue",IF($Q511&gt;=Settings!$C$4,"Inactive","On Track")))))</f>
        <v/>
      </c>
      <c r="S511" s="17" t="str">
        <f t="shared" si="30"/>
        <v/>
      </c>
      <c r="T511" s="36" t="str">
        <f t="shared" si="31"/>
        <v/>
      </c>
      <c r="U511" s="33">
        <f>IF(AND($O511="Open",OR(Dashboard!$D$3="All",$F511=Dashboard!$D$3)),$H511+ROW()/100000,0)</f>
        <v>0</v>
      </c>
    </row>
    <row r="512" spans="2:21" x14ac:dyDescent="0.25">
      <c r="B512" s="37"/>
      <c r="H512" s="38"/>
      <c r="I512" s="37"/>
      <c r="J512" s="39"/>
      <c r="K512" s="39"/>
      <c r="L512" s="39"/>
      <c r="N512" s="17" t="str">
        <f t="shared" si="28"/>
        <v/>
      </c>
      <c r="O512" s="17" t="str">
        <f t="shared" si="29"/>
        <v/>
      </c>
      <c r="P512" s="17" t="str">
        <f>IF($A512="","",IF($L512&lt;&gt;"",$L512,Settings!$C$3)-INT($B512))</f>
        <v/>
      </c>
      <c r="Q512" s="17" t="str">
        <f>IF($O512&lt;&gt;"Open","",Settings!$C$3-IF($J512&lt;&gt;"",$J512,INT($B512)))</f>
        <v/>
      </c>
      <c r="R512" s="17" t="str">
        <f>IF($A512="","",IF($O512="Closed","Closed",IF($F512="Unassigned","Unassigned",IF(AND($K512&lt;&gt;"",$K512&lt;Settings!$C$3),"Overdue",IF($Q512&gt;=Settings!$C$4,"Inactive","On Track")))))</f>
        <v/>
      </c>
      <c r="S512" s="17" t="str">
        <f t="shared" si="30"/>
        <v/>
      </c>
      <c r="T512" s="36" t="str">
        <f t="shared" si="31"/>
        <v/>
      </c>
      <c r="U512" s="33">
        <f>IF(AND($O512="Open",OR(Dashboard!$D$3="All",$F512=Dashboard!$D$3)),$H512+ROW()/100000,0)</f>
        <v>0</v>
      </c>
    </row>
    <row r="513" spans="2:21" x14ac:dyDescent="0.25">
      <c r="B513" s="37"/>
      <c r="H513" s="38"/>
      <c r="I513" s="37"/>
      <c r="J513" s="39"/>
      <c r="K513" s="39"/>
      <c r="L513" s="39"/>
      <c r="N513" s="17" t="str">
        <f t="shared" si="28"/>
        <v/>
      </c>
      <c r="O513" s="17" t="str">
        <f t="shared" si="29"/>
        <v/>
      </c>
      <c r="P513" s="17" t="str">
        <f>IF($A513="","",IF($L513&lt;&gt;"",$L513,Settings!$C$3)-INT($B513))</f>
        <v/>
      </c>
      <c r="Q513" s="17" t="str">
        <f>IF($O513&lt;&gt;"Open","",Settings!$C$3-IF($J513&lt;&gt;"",$J513,INT($B513)))</f>
        <v/>
      </c>
      <c r="R513" s="17" t="str">
        <f>IF($A513="","",IF($O513="Closed","Closed",IF($F513="Unassigned","Unassigned",IF(AND($K513&lt;&gt;"",$K513&lt;Settings!$C$3),"Overdue",IF($Q513&gt;=Settings!$C$4,"Inactive","On Track")))))</f>
        <v/>
      </c>
      <c r="S513" s="17" t="str">
        <f t="shared" si="30"/>
        <v/>
      </c>
      <c r="T513" s="36" t="str">
        <f t="shared" si="31"/>
        <v/>
      </c>
      <c r="U513" s="33">
        <f>IF(AND($O513="Open",OR(Dashboard!$D$3="All",$F513=Dashboard!$D$3)),$H513+ROW()/100000,0)</f>
        <v>0</v>
      </c>
    </row>
    <row r="514" spans="2:21" x14ac:dyDescent="0.25">
      <c r="B514" s="37"/>
      <c r="H514" s="38"/>
      <c r="I514" s="37"/>
      <c r="J514" s="39"/>
      <c r="K514" s="39"/>
      <c r="L514" s="39"/>
      <c r="N514" s="17" t="str">
        <f t="shared" ref="N514:N577" si="32">IF(OR($A514="",$I514=""),"",ROUND(($I514-$B514)*24,1))</f>
        <v/>
      </c>
      <c r="O514" s="17" t="str">
        <f t="shared" ref="O514:O577" si="33">IF($A514="","",IF(OR($G514="Won",$G514="Lost"),"Closed","Open"))</f>
        <v/>
      </c>
      <c r="P514" s="17" t="str">
        <f>IF($A514="","",IF($L514&lt;&gt;"",$L514,Settings!$C$3)-INT($B514))</f>
        <v/>
      </c>
      <c r="Q514" s="17" t="str">
        <f>IF($O514&lt;&gt;"Open","",Settings!$C$3-IF($J514&lt;&gt;"",$J514,INT($B514)))</f>
        <v/>
      </c>
      <c r="R514" s="17" t="str">
        <f>IF($A514="","",IF($O514="Closed","Closed",IF($F514="Unassigned","Unassigned",IF(AND($K514&lt;&gt;"",$K514&lt;Settings!$C$3),"Overdue",IF($Q514&gt;=Settings!$C$4,"Inactive","On Track")))))</f>
        <v/>
      </c>
      <c r="S514" s="17" t="str">
        <f t="shared" ref="S514:S577" si="34">IF($O514&lt;&gt;"Open","",IF($P514&lt;=7,"0-7 days",IF($P514&lt;=15,"8-15 days",IF($P514&lt;=30,"16-30 days",IF($P514&lt;=60,"31-60 days","60+ days")))))</f>
        <v/>
      </c>
      <c r="T514" s="36" t="str">
        <f t="shared" ref="T514:T577" si="35">IF($A514="","",DATE(YEAR($B514),MONTH($B514),1))</f>
        <v/>
      </c>
      <c r="U514" s="33">
        <f>IF(AND($O514="Open",OR(Dashboard!$D$3="All",$F514=Dashboard!$D$3)),$H514+ROW()/100000,0)</f>
        <v>0</v>
      </c>
    </row>
    <row r="515" spans="2:21" x14ac:dyDescent="0.25">
      <c r="B515" s="37"/>
      <c r="H515" s="38"/>
      <c r="I515" s="37"/>
      <c r="J515" s="39"/>
      <c r="K515" s="39"/>
      <c r="L515" s="39"/>
      <c r="N515" s="17" t="str">
        <f t="shared" si="32"/>
        <v/>
      </c>
      <c r="O515" s="17" t="str">
        <f t="shared" si="33"/>
        <v/>
      </c>
      <c r="P515" s="17" t="str">
        <f>IF($A515="","",IF($L515&lt;&gt;"",$L515,Settings!$C$3)-INT($B515))</f>
        <v/>
      </c>
      <c r="Q515" s="17" t="str">
        <f>IF($O515&lt;&gt;"Open","",Settings!$C$3-IF($J515&lt;&gt;"",$J515,INT($B515)))</f>
        <v/>
      </c>
      <c r="R515" s="17" t="str">
        <f>IF($A515="","",IF($O515="Closed","Closed",IF($F515="Unassigned","Unassigned",IF(AND($K515&lt;&gt;"",$K515&lt;Settings!$C$3),"Overdue",IF($Q515&gt;=Settings!$C$4,"Inactive","On Track")))))</f>
        <v/>
      </c>
      <c r="S515" s="17" t="str">
        <f t="shared" si="34"/>
        <v/>
      </c>
      <c r="T515" s="36" t="str">
        <f t="shared" si="35"/>
        <v/>
      </c>
      <c r="U515" s="33">
        <f>IF(AND($O515="Open",OR(Dashboard!$D$3="All",$F515=Dashboard!$D$3)),$H515+ROW()/100000,0)</f>
        <v>0</v>
      </c>
    </row>
    <row r="516" spans="2:21" x14ac:dyDescent="0.25">
      <c r="B516" s="37"/>
      <c r="H516" s="38"/>
      <c r="I516" s="37"/>
      <c r="J516" s="39"/>
      <c r="K516" s="39"/>
      <c r="L516" s="39"/>
      <c r="N516" s="17" t="str">
        <f t="shared" si="32"/>
        <v/>
      </c>
      <c r="O516" s="17" t="str">
        <f t="shared" si="33"/>
        <v/>
      </c>
      <c r="P516" s="17" t="str">
        <f>IF($A516="","",IF($L516&lt;&gt;"",$L516,Settings!$C$3)-INT($B516))</f>
        <v/>
      </c>
      <c r="Q516" s="17" t="str">
        <f>IF($O516&lt;&gt;"Open","",Settings!$C$3-IF($J516&lt;&gt;"",$J516,INT($B516)))</f>
        <v/>
      </c>
      <c r="R516" s="17" t="str">
        <f>IF($A516="","",IF($O516="Closed","Closed",IF($F516="Unassigned","Unassigned",IF(AND($K516&lt;&gt;"",$K516&lt;Settings!$C$3),"Overdue",IF($Q516&gt;=Settings!$C$4,"Inactive","On Track")))))</f>
        <v/>
      </c>
      <c r="S516" s="17" t="str">
        <f t="shared" si="34"/>
        <v/>
      </c>
      <c r="T516" s="36" t="str">
        <f t="shared" si="35"/>
        <v/>
      </c>
      <c r="U516" s="33">
        <f>IF(AND($O516="Open",OR(Dashboard!$D$3="All",$F516=Dashboard!$D$3)),$H516+ROW()/100000,0)</f>
        <v>0</v>
      </c>
    </row>
    <row r="517" spans="2:21" x14ac:dyDescent="0.25">
      <c r="B517" s="37"/>
      <c r="H517" s="38"/>
      <c r="I517" s="37"/>
      <c r="J517" s="39"/>
      <c r="K517" s="39"/>
      <c r="L517" s="39"/>
      <c r="N517" s="17" t="str">
        <f t="shared" si="32"/>
        <v/>
      </c>
      <c r="O517" s="17" t="str">
        <f t="shared" si="33"/>
        <v/>
      </c>
      <c r="P517" s="17" t="str">
        <f>IF($A517="","",IF($L517&lt;&gt;"",$L517,Settings!$C$3)-INT($B517))</f>
        <v/>
      </c>
      <c r="Q517" s="17" t="str">
        <f>IF($O517&lt;&gt;"Open","",Settings!$C$3-IF($J517&lt;&gt;"",$J517,INT($B517)))</f>
        <v/>
      </c>
      <c r="R517" s="17" t="str">
        <f>IF($A517="","",IF($O517="Closed","Closed",IF($F517="Unassigned","Unassigned",IF(AND($K517&lt;&gt;"",$K517&lt;Settings!$C$3),"Overdue",IF($Q517&gt;=Settings!$C$4,"Inactive","On Track")))))</f>
        <v/>
      </c>
      <c r="S517" s="17" t="str">
        <f t="shared" si="34"/>
        <v/>
      </c>
      <c r="T517" s="36" t="str">
        <f t="shared" si="35"/>
        <v/>
      </c>
      <c r="U517" s="33">
        <f>IF(AND($O517="Open",OR(Dashboard!$D$3="All",$F517=Dashboard!$D$3)),$H517+ROW()/100000,0)</f>
        <v>0</v>
      </c>
    </row>
    <row r="518" spans="2:21" x14ac:dyDescent="0.25">
      <c r="B518" s="37"/>
      <c r="H518" s="38"/>
      <c r="I518" s="37"/>
      <c r="J518" s="39"/>
      <c r="K518" s="39"/>
      <c r="L518" s="39"/>
      <c r="N518" s="17" t="str">
        <f t="shared" si="32"/>
        <v/>
      </c>
      <c r="O518" s="17" t="str">
        <f t="shared" si="33"/>
        <v/>
      </c>
      <c r="P518" s="17" t="str">
        <f>IF($A518="","",IF($L518&lt;&gt;"",$L518,Settings!$C$3)-INT($B518))</f>
        <v/>
      </c>
      <c r="Q518" s="17" t="str">
        <f>IF($O518&lt;&gt;"Open","",Settings!$C$3-IF($J518&lt;&gt;"",$J518,INT($B518)))</f>
        <v/>
      </c>
      <c r="R518" s="17" t="str">
        <f>IF($A518="","",IF($O518="Closed","Closed",IF($F518="Unassigned","Unassigned",IF(AND($K518&lt;&gt;"",$K518&lt;Settings!$C$3),"Overdue",IF($Q518&gt;=Settings!$C$4,"Inactive","On Track")))))</f>
        <v/>
      </c>
      <c r="S518" s="17" t="str">
        <f t="shared" si="34"/>
        <v/>
      </c>
      <c r="T518" s="36" t="str">
        <f t="shared" si="35"/>
        <v/>
      </c>
      <c r="U518" s="33">
        <f>IF(AND($O518="Open",OR(Dashboard!$D$3="All",$F518=Dashboard!$D$3)),$H518+ROW()/100000,0)</f>
        <v>0</v>
      </c>
    </row>
    <row r="519" spans="2:21" x14ac:dyDescent="0.25">
      <c r="B519" s="37"/>
      <c r="H519" s="38"/>
      <c r="I519" s="37"/>
      <c r="J519" s="39"/>
      <c r="K519" s="39"/>
      <c r="L519" s="39"/>
      <c r="N519" s="17" t="str">
        <f t="shared" si="32"/>
        <v/>
      </c>
      <c r="O519" s="17" t="str">
        <f t="shared" si="33"/>
        <v/>
      </c>
      <c r="P519" s="17" t="str">
        <f>IF($A519="","",IF($L519&lt;&gt;"",$L519,Settings!$C$3)-INT($B519))</f>
        <v/>
      </c>
      <c r="Q519" s="17" t="str">
        <f>IF($O519&lt;&gt;"Open","",Settings!$C$3-IF($J519&lt;&gt;"",$J519,INT($B519)))</f>
        <v/>
      </c>
      <c r="R519" s="17" t="str">
        <f>IF($A519="","",IF($O519="Closed","Closed",IF($F519="Unassigned","Unassigned",IF(AND($K519&lt;&gt;"",$K519&lt;Settings!$C$3),"Overdue",IF($Q519&gt;=Settings!$C$4,"Inactive","On Track")))))</f>
        <v/>
      </c>
      <c r="S519" s="17" t="str">
        <f t="shared" si="34"/>
        <v/>
      </c>
      <c r="T519" s="36" t="str">
        <f t="shared" si="35"/>
        <v/>
      </c>
      <c r="U519" s="33">
        <f>IF(AND($O519="Open",OR(Dashboard!$D$3="All",$F519=Dashboard!$D$3)),$H519+ROW()/100000,0)</f>
        <v>0</v>
      </c>
    </row>
    <row r="520" spans="2:21" x14ac:dyDescent="0.25">
      <c r="B520" s="37"/>
      <c r="H520" s="38"/>
      <c r="I520" s="37"/>
      <c r="J520" s="39"/>
      <c r="K520" s="39"/>
      <c r="L520" s="39"/>
      <c r="N520" s="17" t="str">
        <f t="shared" si="32"/>
        <v/>
      </c>
      <c r="O520" s="17" t="str">
        <f t="shared" si="33"/>
        <v/>
      </c>
      <c r="P520" s="17" t="str">
        <f>IF($A520="","",IF($L520&lt;&gt;"",$L520,Settings!$C$3)-INT($B520))</f>
        <v/>
      </c>
      <c r="Q520" s="17" t="str">
        <f>IF($O520&lt;&gt;"Open","",Settings!$C$3-IF($J520&lt;&gt;"",$J520,INT($B520)))</f>
        <v/>
      </c>
      <c r="R520" s="17" t="str">
        <f>IF($A520="","",IF($O520="Closed","Closed",IF($F520="Unassigned","Unassigned",IF(AND($K520&lt;&gt;"",$K520&lt;Settings!$C$3),"Overdue",IF($Q520&gt;=Settings!$C$4,"Inactive","On Track")))))</f>
        <v/>
      </c>
      <c r="S520" s="17" t="str">
        <f t="shared" si="34"/>
        <v/>
      </c>
      <c r="T520" s="36" t="str">
        <f t="shared" si="35"/>
        <v/>
      </c>
      <c r="U520" s="33">
        <f>IF(AND($O520="Open",OR(Dashboard!$D$3="All",$F520=Dashboard!$D$3)),$H520+ROW()/100000,0)</f>
        <v>0</v>
      </c>
    </row>
    <row r="521" spans="2:21" x14ac:dyDescent="0.25">
      <c r="B521" s="37"/>
      <c r="H521" s="38"/>
      <c r="I521" s="37"/>
      <c r="J521" s="39"/>
      <c r="K521" s="39"/>
      <c r="L521" s="39"/>
      <c r="N521" s="17" t="str">
        <f t="shared" si="32"/>
        <v/>
      </c>
      <c r="O521" s="17" t="str">
        <f t="shared" si="33"/>
        <v/>
      </c>
      <c r="P521" s="17" t="str">
        <f>IF($A521="","",IF($L521&lt;&gt;"",$L521,Settings!$C$3)-INT($B521))</f>
        <v/>
      </c>
      <c r="Q521" s="17" t="str">
        <f>IF($O521&lt;&gt;"Open","",Settings!$C$3-IF($J521&lt;&gt;"",$J521,INT($B521)))</f>
        <v/>
      </c>
      <c r="R521" s="17" t="str">
        <f>IF($A521="","",IF($O521="Closed","Closed",IF($F521="Unassigned","Unassigned",IF(AND($K521&lt;&gt;"",$K521&lt;Settings!$C$3),"Overdue",IF($Q521&gt;=Settings!$C$4,"Inactive","On Track")))))</f>
        <v/>
      </c>
      <c r="S521" s="17" t="str">
        <f t="shared" si="34"/>
        <v/>
      </c>
      <c r="T521" s="36" t="str">
        <f t="shared" si="35"/>
        <v/>
      </c>
      <c r="U521" s="33">
        <f>IF(AND($O521="Open",OR(Dashboard!$D$3="All",$F521=Dashboard!$D$3)),$H521+ROW()/100000,0)</f>
        <v>0</v>
      </c>
    </row>
    <row r="522" spans="2:21" x14ac:dyDescent="0.25">
      <c r="B522" s="37"/>
      <c r="H522" s="38"/>
      <c r="I522" s="37"/>
      <c r="J522" s="39"/>
      <c r="K522" s="39"/>
      <c r="L522" s="39"/>
      <c r="N522" s="17" t="str">
        <f t="shared" si="32"/>
        <v/>
      </c>
      <c r="O522" s="17" t="str">
        <f t="shared" si="33"/>
        <v/>
      </c>
      <c r="P522" s="17" t="str">
        <f>IF($A522="","",IF($L522&lt;&gt;"",$L522,Settings!$C$3)-INT($B522))</f>
        <v/>
      </c>
      <c r="Q522" s="17" t="str">
        <f>IF($O522&lt;&gt;"Open","",Settings!$C$3-IF($J522&lt;&gt;"",$J522,INT($B522)))</f>
        <v/>
      </c>
      <c r="R522" s="17" t="str">
        <f>IF($A522="","",IF($O522="Closed","Closed",IF($F522="Unassigned","Unassigned",IF(AND($K522&lt;&gt;"",$K522&lt;Settings!$C$3),"Overdue",IF($Q522&gt;=Settings!$C$4,"Inactive","On Track")))))</f>
        <v/>
      </c>
      <c r="S522" s="17" t="str">
        <f t="shared" si="34"/>
        <v/>
      </c>
      <c r="T522" s="36" t="str">
        <f t="shared" si="35"/>
        <v/>
      </c>
      <c r="U522" s="33">
        <f>IF(AND($O522="Open",OR(Dashboard!$D$3="All",$F522=Dashboard!$D$3)),$H522+ROW()/100000,0)</f>
        <v>0</v>
      </c>
    </row>
    <row r="523" spans="2:21" x14ac:dyDescent="0.25">
      <c r="B523" s="37"/>
      <c r="H523" s="38"/>
      <c r="I523" s="37"/>
      <c r="J523" s="39"/>
      <c r="K523" s="39"/>
      <c r="L523" s="39"/>
      <c r="N523" s="17" t="str">
        <f t="shared" si="32"/>
        <v/>
      </c>
      <c r="O523" s="17" t="str">
        <f t="shared" si="33"/>
        <v/>
      </c>
      <c r="P523" s="17" t="str">
        <f>IF($A523="","",IF($L523&lt;&gt;"",$L523,Settings!$C$3)-INT($B523))</f>
        <v/>
      </c>
      <c r="Q523" s="17" t="str">
        <f>IF($O523&lt;&gt;"Open","",Settings!$C$3-IF($J523&lt;&gt;"",$J523,INT($B523)))</f>
        <v/>
      </c>
      <c r="R523" s="17" t="str">
        <f>IF($A523="","",IF($O523="Closed","Closed",IF($F523="Unassigned","Unassigned",IF(AND($K523&lt;&gt;"",$K523&lt;Settings!$C$3),"Overdue",IF($Q523&gt;=Settings!$C$4,"Inactive","On Track")))))</f>
        <v/>
      </c>
      <c r="S523" s="17" t="str">
        <f t="shared" si="34"/>
        <v/>
      </c>
      <c r="T523" s="36" t="str">
        <f t="shared" si="35"/>
        <v/>
      </c>
      <c r="U523" s="33">
        <f>IF(AND($O523="Open",OR(Dashboard!$D$3="All",$F523=Dashboard!$D$3)),$H523+ROW()/100000,0)</f>
        <v>0</v>
      </c>
    </row>
    <row r="524" spans="2:21" x14ac:dyDescent="0.25">
      <c r="B524" s="37"/>
      <c r="H524" s="38"/>
      <c r="I524" s="37"/>
      <c r="J524" s="39"/>
      <c r="K524" s="39"/>
      <c r="L524" s="39"/>
      <c r="N524" s="17" t="str">
        <f t="shared" si="32"/>
        <v/>
      </c>
      <c r="O524" s="17" t="str">
        <f t="shared" si="33"/>
        <v/>
      </c>
      <c r="P524" s="17" t="str">
        <f>IF($A524="","",IF($L524&lt;&gt;"",$L524,Settings!$C$3)-INT($B524))</f>
        <v/>
      </c>
      <c r="Q524" s="17" t="str">
        <f>IF($O524&lt;&gt;"Open","",Settings!$C$3-IF($J524&lt;&gt;"",$J524,INT($B524)))</f>
        <v/>
      </c>
      <c r="R524" s="17" t="str">
        <f>IF($A524="","",IF($O524="Closed","Closed",IF($F524="Unassigned","Unassigned",IF(AND($K524&lt;&gt;"",$K524&lt;Settings!$C$3),"Overdue",IF($Q524&gt;=Settings!$C$4,"Inactive","On Track")))))</f>
        <v/>
      </c>
      <c r="S524" s="17" t="str">
        <f t="shared" si="34"/>
        <v/>
      </c>
      <c r="T524" s="36" t="str">
        <f t="shared" si="35"/>
        <v/>
      </c>
      <c r="U524" s="33">
        <f>IF(AND($O524="Open",OR(Dashboard!$D$3="All",$F524=Dashboard!$D$3)),$H524+ROW()/100000,0)</f>
        <v>0</v>
      </c>
    </row>
    <row r="525" spans="2:21" x14ac:dyDescent="0.25">
      <c r="B525" s="37"/>
      <c r="H525" s="38"/>
      <c r="I525" s="37"/>
      <c r="J525" s="39"/>
      <c r="K525" s="39"/>
      <c r="L525" s="39"/>
      <c r="N525" s="17" t="str">
        <f t="shared" si="32"/>
        <v/>
      </c>
      <c r="O525" s="17" t="str">
        <f t="shared" si="33"/>
        <v/>
      </c>
      <c r="P525" s="17" t="str">
        <f>IF($A525="","",IF($L525&lt;&gt;"",$L525,Settings!$C$3)-INT($B525))</f>
        <v/>
      </c>
      <c r="Q525" s="17" t="str">
        <f>IF($O525&lt;&gt;"Open","",Settings!$C$3-IF($J525&lt;&gt;"",$J525,INT($B525)))</f>
        <v/>
      </c>
      <c r="R525" s="17" t="str">
        <f>IF($A525="","",IF($O525="Closed","Closed",IF($F525="Unassigned","Unassigned",IF(AND($K525&lt;&gt;"",$K525&lt;Settings!$C$3),"Overdue",IF($Q525&gt;=Settings!$C$4,"Inactive","On Track")))))</f>
        <v/>
      </c>
      <c r="S525" s="17" t="str">
        <f t="shared" si="34"/>
        <v/>
      </c>
      <c r="T525" s="36" t="str">
        <f t="shared" si="35"/>
        <v/>
      </c>
      <c r="U525" s="33">
        <f>IF(AND($O525="Open",OR(Dashboard!$D$3="All",$F525=Dashboard!$D$3)),$H525+ROW()/100000,0)</f>
        <v>0</v>
      </c>
    </row>
    <row r="526" spans="2:21" x14ac:dyDescent="0.25">
      <c r="B526" s="37"/>
      <c r="H526" s="38"/>
      <c r="I526" s="37"/>
      <c r="J526" s="39"/>
      <c r="K526" s="39"/>
      <c r="L526" s="39"/>
      <c r="N526" s="17" t="str">
        <f t="shared" si="32"/>
        <v/>
      </c>
      <c r="O526" s="17" t="str">
        <f t="shared" si="33"/>
        <v/>
      </c>
      <c r="P526" s="17" t="str">
        <f>IF($A526="","",IF($L526&lt;&gt;"",$L526,Settings!$C$3)-INT($B526))</f>
        <v/>
      </c>
      <c r="Q526" s="17" t="str">
        <f>IF($O526&lt;&gt;"Open","",Settings!$C$3-IF($J526&lt;&gt;"",$J526,INT($B526)))</f>
        <v/>
      </c>
      <c r="R526" s="17" t="str">
        <f>IF($A526="","",IF($O526="Closed","Closed",IF($F526="Unassigned","Unassigned",IF(AND($K526&lt;&gt;"",$K526&lt;Settings!$C$3),"Overdue",IF($Q526&gt;=Settings!$C$4,"Inactive","On Track")))))</f>
        <v/>
      </c>
      <c r="S526" s="17" t="str">
        <f t="shared" si="34"/>
        <v/>
      </c>
      <c r="T526" s="36" t="str">
        <f t="shared" si="35"/>
        <v/>
      </c>
      <c r="U526" s="33">
        <f>IF(AND($O526="Open",OR(Dashboard!$D$3="All",$F526=Dashboard!$D$3)),$H526+ROW()/100000,0)</f>
        <v>0</v>
      </c>
    </row>
    <row r="527" spans="2:21" x14ac:dyDescent="0.25">
      <c r="B527" s="37"/>
      <c r="H527" s="38"/>
      <c r="I527" s="37"/>
      <c r="J527" s="39"/>
      <c r="K527" s="39"/>
      <c r="L527" s="39"/>
      <c r="N527" s="17" t="str">
        <f t="shared" si="32"/>
        <v/>
      </c>
      <c r="O527" s="17" t="str">
        <f t="shared" si="33"/>
        <v/>
      </c>
      <c r="P527" s="17" t="str">
        <f>IF($A527="","",IF($L527&lt;&gt;"",$L527,Settings!$C$3)-INT($B527))</f>
        <v/>
      </c>
      <c r="Q527" s="17" t="str">
        <f>IF($O527&lt;&gt;"Open","",Settings!$C$3-IF($J527&lt;&gt;"",$J527,INT($B527)))</f>
        <v/>
      </c>
      <c r="R527" s="17" t="str">
        <f>IF($A527="","",IF($O527="Closed","Closed",IF($F527="Unassigned","Unassigned",IF(AND($K527&lt;&gt;"",$K527&lt;Settings!$C$3),"Overdue",IF($Q527&gt;=Settings!$C$4,"Inactive","On Track")))))</f>
        <v/>
      </c>
      <c r="S527" s="17" t="str">
        <f t="shared" si="34"/>
        <v/>
      </c>
      <c r="T527" s="36" t="str">
        <f t="shared" si="35"/>
        <v/>
      </c>
      <c r="U527" s="33">
        <f>IF(AND($O527="Open",OR(Dashboard!$D$3="All",$F527=Dashboard!$D$3)),$H527+ROW()/100000,0)</f>
        <v>0</v>
      </c>
    </row>
    <row r="528" spans="2:21" x14ac:dyDescent="0.25">
      <c r="B528" s="37"/>
      <c r="H528" s="38"/>
      <c r="I528" s="37"/>
      <c r="J528" s="39"/>
      <c r="K528" s="39"/>
      <c r="L528" s="39"/>
      <c r="N528" s="17" t="str">
        <f t="shared" si="32"/>
        <v/>
      </c>
      <c r="O528" s="17" t="str">
        <f t="shared" si="33"/>
        <v/>
      </c>
      <c r="P528" s="17" t="str">
        <f>IF($A528="","",IF($L528&lt;&gt;"",$L528,Settings!$C$3)-INT($B528))</f>
        <v/>
      </c>
      <c r="Q528" s="17" t="str">
        <f>IF($O528&lt;&gt;"Open","",Settings!$C$3-IF($J528&lt;&gt;"",$J528,INT($B528)))</f>
        <v/>
      </c>
      <c r="R528" s="17" t="str">
        <f>IF($A528="","",IF($O528="Closed","Closed",IF($F528="Unassigned","Unassigned",IF(AND($K528&lt;&gt;"",$K528&lt;Settings!$C$3),"Overdue",IF($Q528&gt;=Settings!$C$4,"Inactive","On Track")))))</f>
        <v/>
      </c>
      <c r="S528" s="17" t="str">
        <f t="shared" si="34"/>
        <v/>
      </c>
      <c r="T528" s="36" t="str">
        <f t="shared" si="35"/>
        <v/>
      </c>
      <c r="U528" s="33">
        <f>IF(AND($O528="Open",OR(Dashboard!$D$3="All",$F528=Dashboard!$D$3)),$H528+ROW()/100000,0)</f>
        <v>0</v>
      </c>
    </row>
    <row r="529" spans="2:21" x14ac:dyDescent="0.25">
      <c r="B529" s="37"/>
      <c r="H529" s="38"/>
      <c r="I529" s="37"/>
      <c r="J529" s="39"/>
      <c r="K529" s="39"/>
      <c r="L529" s="39"/>
      <c r="N529" s="17" t="str">
        <f t="shared" si="32"/>
        <v/>
      </c>
      <c r="O529" s="17" t="str">
        <f t="shared" si="33"/>
        <v/>
      </c>
      <c r="P529" s="17" t="str">
        <f>IF($A529="","",IF($L529&lt;&gt;"",$L529,Settings!$C$3)-INT($B529))</f>
        <v/>
      </c>
      <c r="Q529" s="17" t="str">
        <f>IF($O529&lt;&gt;"Open","",Settings!$C$3-IF($J529&lt;&gt;"",$J529,INT($B529)))</f>
        <v/>
      </c>
      <c r="R529" s="17" t="str">
        <f>IF($A529="","",IF($O529="Closed","Closed",IF($F529="Unassigned","Unassigned",IF(AND($K529&lt;&gt;"",$K529&lt;Settings!$C$3),"Overdue",IF($Q529&gt;=Settings!$C$4,"Inactive","On Track")))))</f>
        <v/>
      </c>
      <c r="S529" s="17" t="str">
        <f t="shared" si="34"/>
        <v/>
      </c>
      <c r="T529" s="36" t="str">
        <f t="shared" si="35"/>
        <v/>
      </c>
      <c r="U529" s="33">
        <f>IF(AND($O529="Open",OR(Dashboard!$D$3="All",$F529=Dashboard!$D$3)),$H529+ROW()/100000,0)</f>
        <v>0</v>
      </c>
    </row>
    <row r="530" spans="2:21" x14ac:dyDescent="0.25">
      <c r="B530" s="37"/>
      <c r="H530" s="38"/>
      <c r="I530" s="37"/>
      <c r="J530" s="39"/>
      <c r="K530" s="39"/>
      <c r="L530" s="39"/>
      <c r="N530" s="17" t="str">
        <f t="shared" si="32"/>
        <v/>
      </c>
      <c r="O530" s="17" t="str">
        <f t="shared" si="33"/>
        <v/>
      </c>
      <c r="P530" s="17" t="str">
        <f>IF($A530="","",IF($L530&lt;&gt;"",$L530,Settings!$C$3)-INT($B530))</f>
        <v/>
      </c>
      <c r="Q530" s="17" t="str">
        <f>IF($O530&lt;&gt;"Open","",Settings!$C$3-IF($J530&lt;&gt;"",$J530,INT($B530)))</f>
        <v/>
      </c>
      <c r="R530" s="17" t="str">
        <f>IF($A530="","",IF($O530="Closed","Closed",IF($F530="Unassigned","Unassigned",IF(AND($K530&lt;&gt;"",$K530&lt;Settings!$C$3),"Overdue",IF($Q530&gt;=Settings!$C$4,"Inactive","On Track")))))</f>
        <v/>
      </c>
      <c r="S530" s="17" t="str">
        <f t="shared" si="34"/>
        <v/>
      </c>
      <c r="T530" s="36" t="str">
        <f t="shared" si="35"/>
        <v/>
      </c>
      <c r="U530" s="33">
        <f>IF(AND($O530="Open",OR(Dashboard!$D$3="All",$F530=Dashboard!$D$3)),$H530+ROW()/100000,0)</f>
        <v>0</v>
      </c>
    </row>
    <row r="531" spans="2:21" x14ac:dyDescent="0.25">
      <c r="B531" s="37"/>
      <c r="H531" s="38"/>
      <c r="I531" s="37"/>
      <c r="J531" s="39"/>
      <c r="K531" s="39"/>
      <c r="L531" s="39"/>
      <c r="N531" s="17" t="str">
        <f t="shared" si="32"/>
        <v/>
      </c>
      <c r="O531" s="17" t="str">
        <f t="shared" si="33"/>
        <v/>
      </c>
      <c r="P531" s="17" t="str">
        <f>IF($A531="","",IF($L531&lt;&gt;"",$L531,Settings!$C$3)-INT($B531))</f>
        <v/>
      </c>
      <c r="Q531" s="17" t="str">
        <f>IF($O531&lt;&gt;"Open","",Settings!$C$3-IF($J531&lt;&gt;"",$J531,INT($B531)))</f>
        <v/>
      </c>
      <c r="R531" s="17" t="str">
        <f>IF($A531="","",IF($O531="Closed","Closed",IF($F531="Unassigned","Unassigned",IF(AND($K531&lt;&gt;"",$K531&lt;Settings!$C$3),"Overdue",IF($Q531&gt;=Settings!$C$4,"Inactive","On Track")))))</f>
        <v/>
      </c>
      <c r="S531" s="17" t="str">
        <f t="shared" si="34"/>
        <v/>
      </c>
      <c r="T531" s="36" t="str">
        <f t="shared" si="35"/>
        <v/>
      </c>
      <c r="U531" s="33">
        <f>IF(AND($O531="Open",OR(Dashboard!$D$3="All",$F531=Dashboard!$D$3)),$H531+ROW()/100000,0)</f>
        <v>0</v>
      </c>
    </row>
    <row r="532" spans="2:21" x14ac:dyDescent="0.25">
      <c r="B532" s="37"/>
      <c r="H532" s="38"/>
      <c r="I532" s="37"/>
      <c r="J532" s="39"/>
      <c r="K532" s="39"/>
      <c r="L532" s="39"/>
      <c r="N532" s="17" t="str">
        <f t="shared" si="32"/>
        <v/>
      </c>
      <c r="O532" s="17" t="str">
        <f t="shared" si="33"/>
        <v/>
      </c>
      <c r="P532" s="17" t="str">
        <f>IF($A532="","",IF($L532&lt;&gt;"",$L532,Settings!$C$3)-INT($B532))</f>
        <v/>
      </c>
      <c r="Q532" s="17" t="str">
        <f>IF($O532&lt;&gt;"Open","",Settings!$C$3-IF($J532&lt;&gt;"",$J532,INT($B532)))</f>
        <v/>
      </c>
      <c r="R532" s="17" t="str">
        <f>IF($A532="","",IF($O532="Closed","Closed",IF($F532="Unassigned","Unassigned",IF(AND($K532&lt;&gt;"",$K532&lt;Settings!$C$3),"Overdue",IF($Q532&gt;=Settings!$C$4,"Inactive","On Track")))))</f>
        <v/>
      </c>
      <c r="S532" s="17" t="str">
        <f t="shared" si="34"/>
        <v/>
      </c>
      <c r="T532" s="36" t="str">
        <f t="shared" si="35"/>
        <v/>
      </c>
      <c r="U532" s="33">
        <f>IF(AND($O532="Open",OR(Dashboard!$D$3="All",$F532=Dashboard!$D$3)),$H532+ROW()/100000,0)</f>
        <v>0</v>
      </c>
    </row>
    <row r="533" spans="2:21" x14ac:dyDescent="0.25">
      <c r="B533" s="37"/>
      <c r="H533" s="38"/>
      <c r="I533" s="37"/>
      <c r="J533" s="39"/>
      <c r="K533" s="39"/>
      <c r="L533" s="39"/>
      <c r="N533" s="17" t="str">
        <f t="shared" si="32"/>
        <v/>
      </c>
      <c r="O533" s="17" t="str">
        <f t="shared" si="33"/>
        <v/>
      </c>
      <c r="P533" s="17" t="str">
        <f>IF($A533="","",IF($L533&lt;&gt;"",$L533,Settings!$C$3)-INT($B533))</f>
        <v/>
      </c>
      <c r="Q533" s="17" t="str">
        <f>IF($O533&lt;&gt;"Open","",Settings!$C$3-IF($J533&lt;&gt;"",$J533,INT($B533)))</f>
        <v/>
      </c>
      <c r="R533" s="17" t="str">
        <f>IF($A533="","",IF($O533="Closed","Closed",IF($F533="Unassigned","Unassigned",IF(AND($K533&lt;&gt;"",$K533&lt;Settings!$C$3),"Overdue",IF($Q533&gt;=Settings!$C$4,"Inactive","On Track")))))</f>
        <v/>
      </c>
      <c r="S533" s="17" t="str">
        <f t="shared" si="34"/>
        <v/>
      </c>
      <c r="T533" s="36" t="str">
        <f t="shared" si="35"/>
        <v/>
      </c>
      <c r="U533" s="33">
        <f>IF(AND($O533="Open",OR(Dashboard!$D$3="All",$F533=Dashboard!$D$3)),$H533+ROW()/100000,0)</f>
        <v>0</v>
      </c>
    </row>
    <row r="534" spans="2:21" x14ac:dyDescent="0.25">
      <c r="B534" s="37"/>
      <c r="H534" s="38"/>
      <c r="I534" s="37"/>
      <c r="J534" s="39"/>
      <c r="K534" s="39"/>
      <c r="L534" s="39"/>
      <c r="N534" s="17" t="str">
        <f t="shared" si="32"/>
        <v/>
      </c>
      <c r="O534" s="17" t="str">
        <f t="shared" si="33"/>
        <v/>
      </c>
      <c r="P534" s="17" t="str">
        <f>IF($A534="","",IF($L534&lt;&gt;"",$L534,Settings!$C$3)-INT($B534))</f>
        <v/>
      </c>
      <c r="Q534" s="17" t="str">
        <f>IF($O534&lt;&gt;"Open","",Settings!$C$3-IF($J534&lt;&gt;"",$J534,INT($B534)))</f>
        <v/>
      </c>
      <c r="R534" s="17" t="str">
        <f>IF($A534="","",IF($O534="Closed","Closed",IF($F534="Unassigned","Unassigned",IF(AND($K534&lt;&gt;"",$K534&lt;Settings!$C$3),"Overdue",IF($Q534&gt;=Settings!$C$4,"Inactive","On Track")))))</f>
        <v/>
      </c>
      <c r="S534" s="17" t="str">
        <f t="shared" si="34"/>
        <v/>
      </c>
      <c r="T534" s="36" t="str">
        <f t="shared" si="35"/>
        <v/>
      </c>
      <c r="U534" s="33">
        <f>IF(AND($O534="Open",OR(Dashboard!$D$3="All",$F534=Dashboard!$D$3)),$H534+ROW()/100000,0)</f>
        <v>0</v>
      </c>
    </row>
    <row r="535" spans="2:21" x14ac:dyDescent="0.25">
      <c r="B535" s="37"/>
      <c r="H535" s="38"/>
      <c r="I535" s="37"/>
      <c r="J535" s="39"/>
      <c r="K535" s="39"/>
      <c r="L535" s="39"/>
      <c r="N535" s="17" t="str">
        <f t="shared" si="32"/>
        <v/>
      </c>
      <c r="O535" s="17" t="str">
        <f t="shared" si="33"/>
        <v/>
      </c>
      <c r="P535" s="17" t="str">
        <f>IF($A535="","",IF($L535&lt;&gt;"",$L535,Settings!$C$3)-INT($B535))</f>
        <v/>
      </c>
      <c r="Q535" s="17" t="str">
        <f>IF($O535&lt;&gt;"Open","",Settings!$C$3-IF($J535&lt;&gt;"",$J535,INT($B535)))</f>
        <v/>
      </c>
      <c r="R535" s="17" t="str">
        <f>IF($A535="","",IF($O535="Closed","Closed",IF($F535="Unassigned","Unassigned",IF(AND($K535&lt;&gt;"",$K535&lt;Settings!$C$3),"Overdue",IF($Q535&gt;=Settings!$C$4,"Inactive","On Track")))))</f>
        <v/>
      </c>
      <c r="S535" s="17" t="str">
        <f t="shared" si="34"/>
        <v/>
      </c>
      <c r="T535" s="36" t="str">
        <f t="shared" si="35"/>
        <v/>
      </c>
      <c r="U535" s="33">
        <f>IF(AND($O535="Open",OR(Dashboard!$D$3="All",$F535=Dashboard!$D$3)),$H535+ROW()/100000,0)</f>
        <v>0</v>
      </c>
    </row>
    <row r="536" spans="2:21" x14ac:dyDescent="0.25">
      <c r="B536" s="37"/>
      <c r="H536" s="38"/>
      <c r="I536" s="37"/>
      <c r="J536" s="39"/>
      <c r="K536" s="39"/>
      <c r="L536" s="39"/>
      <c r="N536" s="17" t="str">
        <f t="shared" si="32"/>
        <v/>
      </c>
      <c r="O536" s="17" t="str">
        <f t="shared" si="33"/>
        <v/>
      </c>
      <c r="P536" s="17" t="str">
        <f>IF($A536="","",IF($L536&lt;&gt;"",$L536,Settings!$C$3)-INT($B536))</f>
        <v/>
      </c>
      <c r="Q536" s="17" t="str">
        <f>IF($O536&lt;&gt;"Open","",Settings!$C$3-IF($J536&lt;&gt;"",$J536,INT($B536)))</f>
        <v/>
      </c>
      <c r="R536" s="17" t="str">
        <f>IF($A536="","",IF($O536="Closed","Closed",IF($F536="Unassigned","Unassigned",IF(AND($K536&lt;&gt;"",$K536&lt;Settings!$C$3),"Overdue",IF($Q536&gt;=Settings!$C$4,"Inactive","On Track")))))</f>
        <v/>
      </c>
      <c r="S536" s="17" t="str">
        <f t="shared" si="34"/>
        <v/>
      </c>
      <c r="T536" s="36" t="str">
        <f t="shared" si="35"/>
        <v/>
      </c>
      <c r="U536" s="33">
        <f>IF(AND($O536="Open",OR(Dashboard!$D$3="All",$F536=Dashboard!$D$3)),$H536+ROW()/100000,0)</f>
        <v>0</v>
      </c>
    </row>
    <row r="537" spans="2:21" x14ac:dyDescent="0.25">
      <c r="B537" s="37"/>
      <c r="H537" s="38"/>
      <c r="I537" s="37"/>
      <c r="J537" s="39"/>
      <c r="K537" s="39"/>
      <c r="L537" s="39"/>
      <c r="N537" s="17" t="str">
        <f t="shared" si="32"/>
        <v/>
      </c>
      <c r="O537" s="17" t="str">
        <f t="shared" si="33"/>
        <v/>
      </c>
      <c r="P537" s="17" t="str">
        <f>IF($A537="","",IF($L537&lt;&gt;"",$L537,Settings!$C$3)-INT($B537))</f>
        <v/>
      </c>
      <c r="Q537" s="17" t="str">
        <f>IF($O537&lt;&gt;"Open","",Settings!$C$3-IF($J537&lt;&gt;"",$J537,INT($B537)))</f>
        <v/>
      </c>
      <c r="R537" s="17" t="str">
        <f>IF($A537="","",IF($O537="Closed","Closed",IF($F537="Unassigned","Unassigned",IF(AND($K537&lt;&gt;"",$K537&lt;Settings!$C$3),"Overdue",IF($Q537&gt;=Settings!$C$4,"Inactive","On Track")))))</f>
        <v/>
      </c>
      <c r="S537" s="17" t="str">
        <f t="shared" si="34"/>
        <v/>
      </c>
      <c r="T537" s="36" t="str">
        <f t="shared" si="35"/>
        <v/>
      </c>
      <c r="U537" s="33">
        <f>IF(AND($O537="Open",OR(Dashboard!$D$3="All",$F537=Dashboard!$D$3)),$H537+ROW()/100000,0)</f>
        <v>0</v>
      </c>
    </row>
    <row r="538" spans="2:21" x14ac:dyDescent="0.25">
      <c r="B538" s="37"/>
      <c r="H538" s="38"/>
      <c r="I538" s="37"/>
      <c r="J538" s="39"/>
      <c r="K538" s="39"/>
      <c r="L538" s="39"/>
      <c r="N538" s="17" t="str">
        <f t="shared" si="32"/>
        <v/>
      </c>
      <c r="O538" s="17" t="str">
        <f t="shared" si="33"/>
        <v/>
      </c>
      <c r="P538" s="17" t="str">
        <f>IF($A538="","",IF($L538&lt;&gt;"",$L538,Settings!$C$3)-INT($B538))</f>
        <v/>
      </c>
      <c r="Q538" s="17" t="str">
        <f>IF($O538&lt;&gt;"Open","",Settings!$C$3-IF($J538&lt;&gt;"",$J538,INT($B538)))</f>
        <v/>
      </c>
      <c r="R538" s="17" t="str">
        <f>IF($A538="","",IF($O538="Closed","Closed",IF($F538="Unassigned","Unassigned",IF(AND($K538&lt;&gt;"",$K538&lt;Settings!$C$3),"Overdue",IF($Q538&gt;=Settings!$C$4,"Inactive","On Track")))))</f>
        <v/>
      </c>
      <c r="S538" s="17" t="str">
        <f t="shared" si="34"/>
        <v/>
      </c>
      <c r="T538" s="36" t="str">
        <f t="shared" si="35"/>
        <v/>
      </c>
      <c r="U538" s="33">
        <f>IF(AND($O538="Open",OR(Dashboard!$D$3="All",$F538=Dashboard!$D$3)),$H538+ROW()/100000,0)</f>
        <v>0</v>
      </c>
    </row>
    <row r="539" spans="2:21" x14ac:dyDescent="0.25">
      <c r="B539" s="37"/>
      <c r="H539" s="38"/>
      <c r="I539" s="37"/>
      <c r="J539" s="39"/>
      <c r="K539" s="39"/>
      <c r="L539" s="39"/>
      <c r="N539" s="17" t="str">
        <f t="shared" si="32"/>
        <v/>
      </c>
      <c r="O539" s="17" t="str">
        <f t="shared" si="33"/>
        <v/>
      </c>
      <c r="P539" s="17" t="str">
        <f>IF($A539="","",IF($L539&lt;&gt;"",$L539,Settings!$C$3)-INT($B539))</f>
        <v/>
      </c>
      <c r="Q539" s="17" t="str">
        <f>IF($O539&lt;&gt;"Open","",Settings!$C$3-IF($J539&lt;&gt;"",$J539,INT($B539)))</f>
        <v/>
      </c>
      <c r="R539" s="17" t="str">
        <f>IF($A539="","",IF($O539="Closed","Closed",IF($F539="Unassigned","Unassigned",IF(AND($K539&lt;&gt;"",$K539&lt;Settings!$C$3),"Overdue",IF($Q539&gt;=Settings!$C$4,"Inactive","On Track")))))</f>
        <v/>
      </c>
      <c r="S539" s="17" t="str">
        <f t="shared" si="34"/>
        <v/>
      </c>
      <c r="T539" s="36" t="str">
        <f t="shared" si="35"/>
        <v/>
      </c>
      <c r="U539" s="33">
        <f>IF(AND($O539="Open",OR(Dashboard!$D$3="All",$F539=Dashboard!$D$3)),$H539+ROW()/100000,0)</f>
        <v>0</v>
      </c>
    </row>
    <row r="540" spans="2:21" x14ac:dyDescent="0.25">
      <c r="B540" s="37"/>
      <c r="H540" s="38"/>
      <c r="I540" s="37"/>
      <c r="J540" s="39"/>
      <c r="K540" s="39"/>
      <c r="L540" s="39"/>
      <c r="N540" s="17" t="str">
        <f t="shared" si="32"/>
        <v/>
      </c>
      <c r="O540" s="17" t="str">
        <f t="shared" si="33"/>
        <v/>
      </c>
      <c r="P540" s="17" t="str">
        <f>IF($A540="","",IF($L540&lt;&gt;"",$L540,Settings!$C$3)-INT($B540))</f>
        <v/>
      </c>
      <c r="Q540" s="17" t="str">
        <f>IF($O540&lt;&gt;"Open","",Settings!$C$3-IF($J540&lt;&gt;"",$J540,INT($B540)))</f>
        <v/>
      </c>
      <c r="R540" s="17" t="str">
        <f>IF($A540="","",IF($O540="Closed","Closed",IF($F540="Unassigned","Unassigned",IF(AND($K540&lt;&gt;"",$K540&lt;Settings!$C$3),"Overdue",IF($Q540&gt;=Settings!$C$4,"Inactive","On Track")))))</f>
        <v/>
      </c>
      <c r="S540" s="17" t="str">
        <f t="shared" si="34"/>
        <v/>
      </c>
      <c r="T540" s="36" t="str">
        <f t="shared" si="35"/>
        <v/>
      </c>
      <c r="U540" s="33">
        <f>IF(AND($O540="Open",OR(Dashboard!$D$3="All",$F540=Dashboard!$D$3)),$H540+ROW()/100000,0)</f>
        <v>0</v>
      </c>
    </row>
    <row r="541" spans="2:21" x14ac:dyDescent="0.25">
      <c r="B541" s="37"/>
      <c r="H541" s="38"/>
      <c r="I541" s="37"/>
      <c r="J541" s="39"/>
      <c r="K541" s="39"/>
      <c r="L541" s="39"/>
      <c r="N541" s="17" t="str">
        <f t="shared" si="32"/>
        <v/>
      </c>
      <c r="O541" s="17" t="str">
        <f t="shared" si="33"/>
        <v/>
      </c>
      <c r="P541" s="17" t="str">
        <f>IF($A541="","",IF($L541&lt;&gt;"",$L541,Settings!$C$3)-INT($B541))</f>
        <v/>
      </c>
      <c r="Q541" s="17" t="str">
        <f>IF($O541&lt;&gt;"Open","",Settings!$C$3-IF($J541&lt;&gt;"",$J541,INT($B541)))</f>
        <v/>
      </c>
      <c r="R541" s="17" t="str">
        <f>IF($A541="","",IF($O541="Closed","Closed",IF($F541="Unassigned","Unassigned",IF(AND($K541&lt;&gt;"",$K541&lt;Settings!$C$3),"Overdue",IF($Q541&gt;=Settings!$C$4,"Inactive","On Track")))))</f>
        <v/>
      </c>
      <c r="S541" s="17" t="str">
        <f t="shared" si="34"/>
        <v/>
      </c>
      <c r="T541" s="36" t="str">
        <f t="shared" si="35"/>
        <v/>
      </c>
      <c r="U541" s="33">
        <f>IF(AND($O541="Open",OR(Dashboard!$D$3="All",$F541=Dashboard!$D$3)),$H541+ROW()/100000,0)</f>
        <v>0</v>
      </c>
    </row>
    <row r="542" spans="2:21" x14ac:dyDescent="0.25">
      <c r="B542" s="37"/>
      <c r="H542" s="38"/>
      <c r="I542" s="37"/>
      <c r="J542" s="39"/>
      <c r="K542" s="39"/>
      <c r="L542" s="39"/>
      <c r="N542" s="17" t="str">
        <f t="shared" si="32"/>
        <v/>
      </c>
      <c r="O542" s="17" t="str">
        <f t="shared" si="33"/>
        <v/>
      </c>
      <c r="P542" s="17" t="str">
        <f>IF($A542="","",IF($L542&lt;&gt;"",$L542,Settings!$C$3)-INT($B542))</f>
        <v/>
      </c>
      <c r="Q542" s="17" t="str">
        <f>IF($O542&lt;&gt;"Open","",Settings!$C$3-IF($J542&lt;&gt;"",$J542,INT($B542)))</f>
        <v/>
      </c>
      <c r="R542" s="17" t="str">
        <f>IF($A542="","",IF($O542="Closed","Closed",IF($F542="Unassigned","Unassigned",IF(AND($K542&lt;&gt;"",$K542&lt;Settings!$C$3),"Overdue",IF($Q542&gt;=Settings!$C$4,"Inactive","On Track")))))</f>
        <v/>
      </c>
      <c r="S542" s="17" t="str">
        <f t="shared" si="34"/>
        <v/>
      </c>
      <c r="T542" s="36" t="str">
        <f t="shared" si="35"/>
        <v/>
      </c>
      <c r="U542" s="33">
        <f>IF(AND($O542="Open",OR(Dashboard!$D$3="All",$F542=Dashboard!$D$3)),$H542+ROW()/100000,0)</f>
        <v>0</v>
      </c>
    </row>
    <row r="543" spans="2:21" x14ac:dyDescent="0.25">
      <c r="B543" s="37"/>
      <c r="H543" s="38"/>
      <c r="I543" s="37"/>
      <c r="J543" s="39"/>
      <c r="K543" s="39"/>
      <c r="L543" s="39"/>
      <c r="N543" s="17" t="str">
        <f t="shared" si="32"/>
        <v/>
      </c>
      <c r="O543" s="17" t="str">
        <f t="shared" si="33"/>
        <v/>
      </c>
      <c r="P543" s="17" t="str">
        <f>IF($A543="","",IF($L543&lt;&gt;"",$L543,Settings!$C$3)-INT($B543))</f>
        <v/>
      </c>
      <c r="Q543" s="17" t="str">
        <f>IF($O543&lt;&gt;"Open","",Settings!$C$3-IF($J543&lt;&gt;"",$J543,INT($B543)))</f>
        <v/>
      </c>
      <c r="R543" s="17" t="str">
        <f>IF($A543="","",IF($O543="Closed","Closed",IF($F543="Unassigned","Unassigned",IF(AND($K543&lt;&gt;"",$K543&lt;Settings!$C$3),"Overdue",IF($Q543&gt;=Settings!$C$4,"Inactive","On Track")))))</f>
        <v/>
      </c>
      <c r="S543" s="17" t="str">
        <f t="shared" si="34"/>
        <v/>
      </c>
      <c r="T543" s="36" t="str">
        <f t="shared" si="35"/>
        <v/>
      </c>
      <c r="U543" s="33">
        <f>IF(AND($O543="Open",OR(Dashboard!$D$3="All",$F543=Dashboard!$D$3)),$H543+ROW()/100000,0)</f>
        <v>0</v>
      </c>
    </row>
    <row r="544" spans="2:21" x14ac:dyDescent="0.25">
      <c r="B544" s="37"/>
      <c r="H544" s="38"/>
      <c r="I544" s="37"/>
      <c r="J544" s="39"/>
      <c r="K544" s="39"/>
      <c r="L544" s="39"/>
      <c r="N544" s="17" t="str">
        <f t="shared" si="32"/>
        <v/>
      </c>
      <c r="O544" s="17" t="str">
        <f t="shared" si="33"/>
        <v/>
      </c>
      <c r="P544" s="17" t="str">
        <f>IF($A544="","",IF($L544&lt;&gt;"",$L544,Settings!$C$3)-INT($B544))</f>
        <v/>
      </c>
      <c r="Q544" s="17" t="str">
        <f>IF($O544&lt;&gt;"Open","",Settings!$C$3-IF($J544&lt;&gt;"",$J544,INT($B544)))</f>
        <v/>
      </c>
      <c r="R544" s="17" t="str">
        <f>IF($A544="","",IF($O544="Closed","Closed",IF($F544="Unassigned","Unassigned",IF(AND($K544&lt;&gt;"",$K544&lt;Settings!$C$3),"Overdue",IF($Q544&gt;=Settings!$C$4,"Inactive","On Track")))))</f>
        <v/>
      </c>
      <c r="S544" s="17" t="str">
        <f t="shared" si="34"/>
        <v/>
      </c>
      <c r="T544" s="36" t="str">
        <f t="shared" si="35"/>
        <v/>
      </c>
      <c r="U544" s="33">
        <f>IF(AND($O544="Open",OR(Dashboard!$D$3="All",$F544=Dashboard!$D$3)),$H544+ROW()/100000,0)</f>
        <v>0</v>
      </c>
    </row>
    <row r="545" spans="2:21" x14ac:dyDescent="0.25">
      <c r="B545" s="37"/>
      <c r="H545" s="38"/>
      <c r="I545" s="37"/>
      <c r="J545" s="39"/>
      <c r="K545" s="39"/>
      <c r="L545" s="39"/>
      <c r="N545" s="17" t="str">
        <f t="shared" si="32"/>
        <v/>
      </c>
      <c r="O545" s="17" t="str">
        <f t="shared" si="33"/>
        <v/>
      </c>
      <c r="P545" s="17" t="str">
        <f>IF($A545="","",IF($L545&lt;&gt;"",$L545,Settings!$C$3)-INT($B545))</f>
        <v/>
      </c>
      <c r="Q545" s="17" t="str">
        <f>IF($O545&lt;&gt;"Open","",Settings!$C$3-IF($J545&lt;&gt;"",$J545,INT($B545)))</f>
        <v/>
      </c>
      <c r="R545" s="17" t="str">
        <f>IF($A545="","",IF($O545="Closed","Closed",IF($F545="Unassigned","Unassigned",IF(AND($K545&lt;&gt;"",$K545&lt;Settings!$C$3),"Overdue",IF($Q545&gt;=Settings!$C$4,"Inactive","On Track")))))</f>
        <v/>
      </c>
      <c r="S545" s="17" t="str">
        <f t="shared" si="34"/>
        <v/>
      </c>
      <c r="T545" s="36" t="str">
        <f t="shared" si="35"/>
        <v/>
      </c>
      <c r="U545" s="33">
        <f>IF(AND($O545="Open",OR(Dashboard!$D$3="All",$F545=Dashboard!$D$3)),$H545+ROW()/100000,0)</f>
        <v>0</v>
      </c>
    </row>
    <row r="546" spans="2:21" x14ac:dyDescent="0.25">
      <c r="B546" s="37"/>
      <c r="H546" s="38"/>
      <c r="I546" s="37"/>
      <c r="J546" s="39"/>
      <c r="K546" s="39"/>
      <c r="L546" s="39"/>
      <c r="N546" s="17" t="str">
        <f t="shared" si="32"/>
        <v/>
      </c>
      <c r="O546" s="17" t="str">
        <f t="shared" si="33"/>
        <v/>
      </c>
      <c r="P546" s="17" t="str">
        <f>IF($A546="","",IF($L546&lt;&gt;"",$L546,Settings!$C$3)-INT($B546))</f>
        <v/>
      </c>
      <c r="Q546" s="17" t="str">
        <f>IF($O546&lt;&gt;"Open","",Settings!$C$3-IF($J546&lt;&gt;"",$J546,INT($B546)))</f>
        <v/>
      </c>
      <c r="R546" s="17" t="str">
        <f>IF($A546="","",IF($O546="Closed","Closed",IF($F546="Unassigned","Unassigned",IF(AND($K546&lt;&gt;"",$K546&lt;Settings!$C$3),"Overdue",IF($Q546&gt;=Settings!$C$4,"Inactive","On Track")))))</f>
        <v/>
      </c>
      <c r="S546" s="17" t="str">
        <f t="shared" si="34"/>
        <v/>
      </c>
      <c r="T546" s="36" t="str">
        <f t="shared" si="35"/>
        <v/>
      </c>
      <c r="U546" s="33">
        <f>IF(AND($O546="Open",OR(Dashboard!$D$3="All",$F546=Dashboard!$D$3)),$H546+ROW()/100000,0)</f>
        <v>0</v>
      </c>
    </row>
    <row r="547" spans="2:21" x14ac:dyDescent="0.25">
      <c r="B547" s="37"/>
      <c r="H547" s="38"/>
      <c r="I547" s="37"/>
      <c r="J547" s="39"/>
      <c r="K547" s="39"/>
      <c r="L547" s="39"/>
      <c r="N547" s="17" t="str">
        <f t="shared" si="32"/>
        <v/>
      </c>
      <c r="O547" s="17" t="str">
        <f t="shared" si="33"/>
        <v/>
      </c>
      <c r="P547" s="17" t="str">
        <f>IF($A547="","",IF($L547&lt;&gt;"",$L547,Settings!$C$3)-INT($B547))</f>
        <v/>
      </c>
      <c r="Q547" s="17" t="str">
        <f>IF($O547&lt;&gt;"Open","",Settings!$C$3-IF($J547&lt;&gt;"",$J547,INT($B547)))</f>
        <v/>
      </c>
      <c r="R547" s="17" t="str">
        <f>IF($A547="","",IF($O547="Closed","Closed",IF($F547="Unassigned","Unassigned",IF(AND($K547&lt;&gt;"",$K547&lt;Settings!$C$3),"Overdue",IF($Q547&gt;=Settings!$C$4,"Inactive","On Track")))))</f>
        <v/>
      </c>
      <c r="S547" s="17" t="str">
        <f t="shared" si="34"/>
        <v/>
      </c>
      <c r="T547" s="36" t="str">
        <f t="shared" si="35"/>
        <v/>
      </c>
      <c r="U547" s="33">
        <f>IF(AND($O547="Open",OR(Dashboard!$D$3="All",$F547=Dashboard!$D$3)),$H547+ROW()/100000,0)</f>
        <v>0</v>
      </c>
    </row>
    <row r="548" spans="2:21" x14ac:dyDescent="0.25">
      <c r="B548" s="37"/>
      <c r="H548" s="38"/>
      <c r="I548" s="37"/>
      <c r="J548" s="39"/>
      <c r="K548" s="39"/>
      <c r="L548" s="39"/>
      <c r="N548" s="17" t="str">
        <f t="shared" si="32"/>
        <v/>
      </c>
      <c r="O548" s="17" t="str">
        <f t="shared" si="33"/>
        <v/>
      </c>
      <c r="P548" s="17" t="str">
        <f>IF($A548="","",IF($L548&lt;&gt;"",$L548,Settings!$C$3)-INT($B548))</f>
        <v/>
      </c>
      <c r="Q548" s="17" t="str">
        <f>IF($O548&lt;&gt;"Open","",Settings!$C$3-IF($J548&lt;&gt;"",$J548,INT($B548)))</f>
        <v/>
      </c>
      <c r="R548" s="17" t="str">
        <f>IF($A548="","",IF($O548="Closed","Closed",IF($F548="Unassigned","Unassigned",IF(AND($K548&lt;&gt;"",$K548&lt;Settings!$C$3),"Overdue",IF($Q548&gt;=Settings!$C$4,"Inactive","On Track")))))</f>
        <v/>
      </c>
      <c r="S548" s="17" t="str">
        <f t="shared" si="34"/>
        <v/>
      </c>
      <c r="T548" s="36" t="str">
        <f t="shared" si="35"/>
        <v/>
      </c>
      <c r="U548" s="33">
        <f>IF(AND($O548="Open",OR(Dashboard!$D$3="All",$F548=Dashboard!$D$3)),$H548+ROW()/100000,0)</f>
        <v>0</v>
      </c>
    </row>
    <row r="549" spans="2:21" x14ac:dyDescent="0.25">
      <c r="B549" s="37"/>
      <c r="H549" s="38"/>
      <c r="I549" s="37"/>
      <c r="J549" s="39"/>
      <c r="K549" s="39"/>
      <c r="L549" s="39"/>
      <c r="N549" s="17" t="str">
        <f t="shared" si="32"/>
        <v/>
      </c>
      <c r="O549" s="17" t="str">
        <f t="shared" si="33"/>
        <v/>
      </c>
      <c r="P549" s="17" t="str">
        <f>IF($A549="","",IF($L549&lt;&gt;"",$L549,Settings!$C$3)-INT($B549))</f>
        <v/>
      </c>
      <c r="Q549" s="17" t="str">
        <f>IF($O549&lt;&gt;"Open","",Settings!$C$3-IF($J549&lt;&gt;"",$J549,INT($B549)))</f>
        <v/>
      </c>
      <c r="R549" s="17" t="str">
        <f>IF($A549="","",IF($O549="Closed","Closed",IF($F549="Unassigned","Unassigned",IF(AND($K549&lt;&gt;"",$K549&lt;Settings!$C$3),"Overdue",IF($Q549&gt;=Settings!$C$4,"Inactive","On Track")))))</f>
        <v/>
      </c>
      <c r="S549" s="17" t="str">
        <f t="shared" si="34"/>
        <v/>
      </c>
      <c r="T549" s="36" t="str">
        <f t="shared" si="35"/>
        <v/>
      </c>
      <c r="U549" s="33">
        <f>IF(AND($O549="Open",OR(Dashboard!$D$3="All",$F549=Dashboard!$D$3)),$H549+ROW()/100000,0)</f>
        <v>0</v>
      </c>
    </row>
    <row r="550" spans="2:21" x14ac:dyDescent="0.25">
      <c r="B550" s="37"/>
      <c r="H550" s="38"/>
      <c r="I550" s="37"/>
      <c r="J550" s="39"/>
      <c r="K550" s="39"/>
      <c r="L550" s="39"/>
      <c r="N550" s="17" t="str">
        <f t="shared" si="32"/>
        <v/>
      </c>
      <c r="O550" s="17" t="str">
        <f t="shared" si="33"/>
        <v/>
      </c>
      <c r="P550" s="17" t="str">
        <f>IF($A550="","",IF($L550&lt;&gt;"",$L550,Settings!$C$3)-INT($B550))</f>
        <v/>
      </c>
      <c r="Q550" s="17" t="str">
        <f>IF($O550&lt;&gt;"Open","",Settings!$C$3-IF($J550&lt;&gt;"",$J550,INT($B550)))</f>
        <v/>
      </c>
      <c r="R550" s="17" t="str">
        <f>IF($A550="","",IF($O550="Closed","Closed",IF($F550="Unassigned","Unassigned",IF(AND($K550&lt;&gt;"",$K550&lt;Settings!$C$3),"Overdue",IF($Q550&gt;=Settings!$C$4,"Inactive","On Track")))))</f>
        <v/>
      </c>
      <c r="S550" s="17" t="str">
        <f t="shared" si="34"/>
        <v/>
      </c>
      <c r="T550" s="36" t="str">
        <f t="shared" si="35"/>
        <v/>
      </c>
      <c r="U550" s="33">
        <f>IF(AND($O550="Open",OR(Dashboard!$D$3="All",$F550=Dashboard!$D$3)),$H550+ROW()/100000,0)</f>
        <v>0</v>
      </c>
    </row>
    <row r="551" spans="2:21" x14ac:dyDescent="0.25">
      <c r="B551" s="37"/>
      <c r="H551" s="38"/>
      <c r="I551" s="37"/>
      <c r="J551" s="39"/>
      <c r="K551" s="39"/>
      <c r="L551" s="39"/>
      <c r="N551" s="17" t="str">
        <f t="shared" si="32"/>
        <v/>
      </c>
      <c r="O551" s="17" t="str">
        <f t="shared" si="33"/>
        <v/>
      </c>
      <c r="P551" s="17" t="str">
        <f>IF($A551="","",IF($L551&lt;&gt;"",$L551,Settings!$C$3)-INT($B551))</f>
        <v/>
      </c>
      <c r="Q551" s="17" t="str">
        <f>IF($O551&lt;&gt;"Open","",Settings!$C$3-IF($J551&lt;&gt;"",$J551,INT($B551)))</f>
        <v/>
      </c>
      <c r="R551" s="17" t="str">
        <f>IF($A551="","",IF($O551="Closed","Closed",IF($F551="Unassigned","Unassigned",IF(AND($K551&lt;&gt;"",$K551&lt;Settings!$C$3),"Overdue",IF($Q551&gt;=Settings!$C$4,"Inactive","On Track")))))</f>
        <v/>
      </c>
      <c r="S551" s="17" t="str">
        <f t="shared" si="34"/>
        <v/>
      </c>
      <c r="T551" s="36" t="str">
        <f t="shared" si="35"/>
        <v/>
      </c>
      <c r="U551" s="33">
        <f>IF(AND($O551="Open",OR(Dashboard!$D$3="All",$F551=Dashboard!$D$3)),$H551+ROW()/100000,0)</f>
        <v>0</v>
      </c>
    </row>
    <row r="552" spans="2:21" x14ac:dyDescent="0.25">
      <c r="B552" s="37"/>
      <c r="H552" s="38"/>
      <c r="I552" s="37"/>
      <c r="J552" s="39"/>
      <c r="K552" s="39"/>
      <c r="L552" s="39"/>
      <c r="N552" s="17" t="str">
        <f t="shared" si="32"/>
        <v/>
      </c>
      <c r="O552" s="17" t="str">
        <f t="shared" si="33"/>
        <v/>
      </c>
      <c r="P552" s="17" t="str">
        <f>IF($A552="","",IF($L552&lt;&gt;"",$L552,Settings!$C$3)-INT($B552))</f>
        <v/>
      </c>
      <c r="Q552" s="17" t="str">
        <f>IF($O552&lt;&gt;"Open","",Settings!$C$3-IF($J552&lt;&gt;"",$J552,INT($B552)))</f>
        <v/>
      </c>
      <c r="R552" s="17" t="str">
        <f>IF($A552="","",IF($O552="Closed","Closed",IF($F552="Unassigned","Unassigned",IF(AND($K552&lt;&gt;"",$K552&lt;Settings!$C$3),"Overdue",IF($Q552&gt;=Settings!$C$4,"Inactive","On Track")))))</f>
        <v/>
      </c>
      <c r="S552" s="17" t="str">
        <f t="shared" si="34"/>
        <v/>
      </c>
      <c r="T552" s="36" t="str">
        <f t="shared" si="35"/>
        <v/>
      </c>
      <c r="U552" s="33">
        <f>IF(AND($O552="Open",OR(Dashboard!$D$3="All",$F552=Dashboard!$D$3)),$H552+ROW()/100000,0)</f>
        <v>0</v>
      </c>
    </row>
    <row r="553" spans="2:21" x14ac:dyDescent="0.25">
      <c r="B553" s="37"/>
      <c r="H553" s="38"/>
      <c r="I553" s="37"/>
      <c r="J553" s="39"/>
      <c r="K553" s="39"/>
      <c r="L553" s="39"/>
      <c r="N553" s="17" t="str">
        <f t="shared" si="32"/>
        <v/>
      </c>
      <c r="O553" s="17" t="str">
        <f t="shared" si="33"/>
        <v/>
      </c>
      <c r="P553" s="17" t="str">
        <f>IF($A553="","",IF($L553&lt;&gt;"",$L553,Settings!$C$3)-INT($B553))</f>
        <v/>
      </c>
      <c r="Q553" s="17" t="str">
        <f>IF($O553&lt;&gt;"Open","",Settings!$C$3-IF($J553&lt;&gt;"",$J553,INT($B553)))</f>
        <v/>
      </c>
      <c r="R553" s="17" t="str">
        <f>IF($A553="","",IF($O553="Closed","Closed",IF($F553="Unassigned","Unassigned",IF(AND($K553&lt;&gt;"",$K553&lt;Settings!$C$3),"Overdue",IF($Q553&gt;=Settings!$C$4,"Inactive","On Track")))))</f>
        <v/>
      </c>
      <c r="S553" s="17" t="str">
        <f t="shared" si="34"/>
        <v/>
      </c>
      <c r="T553" s="36" t="str">
        <f t="shared" si="35"/>
        <v/>
      </c>
      <c r="U553" s="33">
        <f>IF(AND($O553="Open",OR(Dashboard!$D$3="All",$F553=Dashboard!$D$3)),$H553+ROW()/100000,0)</f>
        <v>0</v>
      </c>
    </row>
    <row r="554" spans="2:21" x14ac:dyDescent="0.25">
      <c r="B554" s="37"/>
      <c r="H554" s="38"/>
      <c r="I554" s="37"/>
      <c r="J554" s="39"/>
      <c r="K554" s="39"/>
      <c r="L554" s="39"/>
      <c r="N554" s="17" t="str">
        <f t="shared" si="32"/>
        <v/>
      </c>
      <c r="O554" s="17" t="str">
        <f t="shared" si="33"/>
        <v/>
      </c>
      <c r="P554" s="17" t="str">
        <f>IF($A554="","",IF($L554&lt;&gt;"",$L554,Settings!$C$3)-INT($B554))</f>
        <v/>
      </c>
      <c r="Q554" s="17" t="str">
        <f>IF($O554&lt;&gt;"Open","",Settings!$C$3-IF($J554&lt;&gt;"",$J554,INT($B554)))</f>
        <v/>
      </c>
      <c r="R554" s="17" t="str">
        <f>IF($A554="","",IF($O554="Closed","Closed",IF($F554="Unassigned","Unassigned",IF(AND($K554&lt;&gt;"",$K554&lt;Settings!$C$3),"Overdue",IF($Q554&gt;=Settings!$C$4,"Inactive","On Track")))))</f>
        <v/>
      </c>
      <c r="S554" s="17" t="str">
        <f t="shared" si="34"/>
        <v/>
      </c>
      <c r="T554" s="36" t="str">
        <f t="shared" si="35"/>
        <v/>
      </c>
      <c r="U554" s="33">
        <f>IF(AND($O554="Open",OR(Dashboard!$D$3="All",$F554=Dashboard!$D$3)),$H554+ROW()/100000,0)</f>
        <v>0</v>
      </c>
    </row>
    <row r="555" spans="2:21" x14ac:dyDescent="0.25">
      <c r="B555" s="37"/>
      <c r="H555" s="38"/>
      <c r="I555" s="37"/>
      <c r="J555" s="39"/>
      <c r="K555" s="39"/>
      <c r="L555" s="39"/>
      <c r="N555" s="17" t="str">
        <f t="shared" si="32"/>
        <v/>
      </c>
      <c r="O555" s="17" t="str">
        <f t="shared" si="33"/>
        <v/>
      </c>
      <c r="P555" s="17" t="str">
        <f>IF($A555="","",IF($L555&lt;&gt;"",$L555,Settings!$C$3)-INT($B555))</f>
        <v/>
      </c>
      <c r="Q555" s="17" t="str">
        <f>IF($O555&lt;&gt;"Open","",Settings!$C$3-IF($J555&lt;&gt;"",$J555,INT($B555)))</f>
        <v/>
      </c>
      <c r="R555" s="17" t="str">
        <f>IF($A555="","",IF($O555="Closed","Closed",IF($F555="Unassigned","Unassigned",IF(AND($K555&lt;&gt;"",$K555&lt;Settings!$C$3),"Overdue",IF($Q555&gt;=Settings!$C$4,"Inactive","On Track")))))</f>
        <v/>
      </c>
      <c r="S555" s="17" t="str">
        <f t="shared" si="34"/>
        <v/>
      </c>
      <c r="T555" s="36" t="str">
        <f t="shared" si="35"/>
        <v/>
      </c>
      <c r="U555" s="33">
        <f>IF(AND($O555="Open",OR(Dashboard!$D$3="All",$F555=Dashboard!$D$3)),$H555+ROW()/100000,0)</f>
        <v>0</v>
      </c>
    </row>
    <row r="556" spans="2:21" x14ac:dyDescent="0.25">
      <c r="B556" s="37"/>
      <c r="H556" s="38"/>
      <c r="I556" s="37"/>
      <c r="J556" s="39"/>
      <c r="K556" s="39"/>
      <c r="L556" s="39"/>
      <c r="N556" s="17" t="str">
        <f t="shared" si="32"/>
        <v/>
      </c>
      <c r="O556" s="17" t="str">
        <f t="shared" si="33"/>
        <v/>
      </c>
      <c r="P556" s="17" t="str">
        <f>IF($A556="","",IF($L556&lt;&gt;"",$L556,Settings!$C$3)-INT($B556))</f>
        <v/>
      </c>
      <c r="Q556" s="17" t="str">
        <f>IF($O556&lt;&gt;"Open","",Settings!$C$3-IF($J556&lt;&gt;"",$J556,INT($B556)))</f>
        <v/>
      </c>
      <c r="R556" s="17" t="str">
        <f>IF($A556="","",IF($O556="Closed","Closed",IF($F556="Unassigned","Unassigned",IF(AND($K556&lt;&gt;"",$K556&lt;Settings!$C$3),"Overdue",IF($Q556&gt;=Settings!$C$4,"Inactive","On Track")))))</f>
        <v/>
      </c>
      <c r="S556" s="17" t="str">
        <f t="shared" si="34"/>
        <v/>
      </c>
      <c r="T556" s="36" t="str">
        <f t="shared" si="35"/>
        <v/>
      </c>
      <c r="U556" s="33">
        <f>IF(AND($O556="Open",OR(Dashboard!$D$3="All",$F556=Dashboard!$D$3)),$H556+ROW()/100000,0)</f>
        <v>0</v>
      </c>
    </row>
    <row r="557" spans="2:21" x14ac:dyDescent="0.25">
      <c r="B557" s="37"/>
      <c r="H557" s="38"/>
      <c r="I557" s="37"/>
      <c r="J557" s="39"/>
      <c r="K557" s="39"/>
      <c r="L557" s="39"/>
      <c r="N557" s="17" t="str">
        <f t="shared" si="32"/>
        <v/>
      </c>
      <c r="O557" s="17" t="str">
        <f t="shared" si="33"/>
        <v/>
      </c>
      <c r="P557" s="17" t="str">
        <f>IF($A557="","",IF($L557&lt;&gt;"",$L557,Settings!$C$3)-INT($B557))</f>
        <v/>
      </c>
      <c r="Q557" s="17" t="str">
        <f>IF($O557&lt;&gt;"Open","",Settings!$C$3-IF($J557&lt;&gt;"",$J557,INT($B557)))</f>
        <v/>
      </c>
      <c r="R557" s="17" t="str">
        <f>IF($A557="","",IF($O557="Closed","Closed",IF($F557="Unassigned","Unassigned",IF(AND($K557&lt;&gt;"",$K557&lt;Settings!$C$3),"Overdue",IF($Q557&gt;=Settings!$C$4,"Inactive","On Track")))))</f>
        <v/>
      </c>
      <c r="S557" s="17" t="str">
        <f t="shared" si="34"/>
        <v/>
      </c>
      <c r="T557" s="36" t="str">
        <f t="shared" si="35"/>
        <v/>
      </c>
      <c r="U557" s="33">
        <f>IF(AND($O557="Open",OR(Dashboard!$D$3="All",$F557=Dashboard!$D$3)),$H557+ROW()/100000,0)</f>
        <v>0</v>
      </c>
    </row>
    <row r="558" spans="2:21" x14ac:dyDescent="0.25">
      <c r="B558" s="37"/>
      <c r="H558" s="38"/>
      <c r="I558" s="37"/>
      <c r="J558" s="39"/>
      <c r="K558" s="39"/>
      <c r="L558" s="39"/>
      <c r="N558" s="17" t="str">
        <f t="shared" si="32"/>
        <v/>
      </c>
      <c r="O558" s="17" t="str">
        <f t="shared" si="33"/>
        <v/>
      </c>
      <c r="P558" s="17" t="str">
        <f>IF($A558="","",IF($L558&lt;&gt;"",$L558,Settings!$C$3)-INT($B558))</f>
        <v/>
      </c>
      <c r="Q558" s="17" t="str">
        <f>IF($O558&lt;&gt;"Open","",Settings!$C$3-IF($J558&lt;&gt;"",$J558,INT($B558)))</f>
        <v/>
      </c>
      <c r="R558" s="17" t="str">
        <f>IF($A558="","",IF($O558="Closed","Closed",IF($F558="Unassigned","Unassigned",IF(AND($K558&lt;&gt;"",$K558&lt;Settings!$C$3),"Overdue",IF($Q558&gt;=Settings!$C$4,"Inactive","On Track")))))</f>
        <v/>
      </c>
      <c r="S558" s="17" t="str">
        <f t="shared" si="34"/>
        <v/>
      </c>
      <c r="T558" s="36" t="str">
        <f t="shared" si="35"/>
        <v/>
      </c>
      <c r="U558" s="33">
        <f>IF(AND($O558="Open",OR(Dashboard!$D$3="All",$F558=Dashboard!$D$3)),$H558+ROW()/100000,0)</f>
        <v>0</v>
      </c>
    </row>
    <row r="559" spans="2:21" x14ac:dyDescent="0.25">
      <c r="B559" s="37"/>
      <c r="H559" s="38"/>
      <c r="I559" s="37"/>
      <c r="J559" s="39"/>
      <c r="K559" s="39"/>
      <c r="L559" s="39"/>
      <c r="N559" s="17" t="str">
        <f t="shared" si="32"/>
        <v/>
      </c>
      <c r="O559" s="17" t="str">
        <f t="shared" si="33"/>
        <v/>
      </c>
      <c r="P559" s="17" t="str">
        <f>IF($A559="","",IF($L559&lt;&gt;"",$L559,Settings!$C$3)-INT($B559))</f>
        <v/>
      </c>
      <c r="Q559" s="17" t="str">
        <f>IF($O559&lt;&gt;"Open","",Settings!$C$3-IF($J559&lt;&gt;"",$J559,INT($B559)))</f>
        <v/>
      </c>
      <c r="R559" s="17" t="str">
        <f>IF($A559="","",IF($O559="Closed","Closed",IF($F559="Unassigned","Unassigned",IF(AND($K559&lt;&gt;"",$K559&lt;Settings!$C$3),"Overdue",IF($Q559&gt;=Settings!$C$4,"Inactive","On Track")))))</f>
        <v/>
      </c>
      <c r="S559" s="17" t="str">
        <f t="shared" si="34"/>
        <v/>
      </c>
      <c r="T559" s="36" t="str">
        <f t="shared" si="35"/>
        <v/>
      </c>
      <c r="U559" s="33">
        <f>IF(AND($O559="Open",OR(Dashboard!$D$3="All",$F559=Dashboard!$D$3)),$H559+ROW()/100000,0)</f>
        <v>0</v>
      </c>
    </row>
    <row r="560" spans="2:21" x14ac:dyDescent="0.25">
      <c r="B560" s="37"/>
      <c r="H560" s="38"/>
      <c r="I560" s="37"/>
      <c r="J560" s="39"/>
      <c r="K560" s="39"/>
      <c r="L560" s="39"/>
      <c r="N560" s="17" t="str">
        <f t="shared" si="32"/>
        <v/>
      </c>
      <c r="O560" s="17" t="str">
        <f t="shared" si="33"/>
        <v/>
      </c>
      <c r="P560" s="17" t="str">
        <f>IF($A560="","",IF($L560&lt;&gt;"",$L560,Settings!$C$3)-INT($B560))</f>
        <v/>
      </c>
      <c r="Q560" s="17" t="str">
        <f>IF($O560&lt;&gt;"Open","",Settings!$C$3-IF($J560&lt;&gt;"",$J560,INT($B560)))</f>
        <v/>
      </c>
      <c r="R560" s="17" t="str">
        <f>IF($A560="","",IF($O560="Closed","Closed",IF($F560="Unassigned","Unassigned",IF(AND($K560&lt;&gt;"",$K560&lt;Settings!$C$3),"Overdue",IF($Q560&gt;=Settings!$C$4,"Inactive","On Track")))))</f>
        <v/>
      </c>
      <c r="S560" s="17" t="str">
        <f t="shared" si="34"/>
        <v/>
      </c>
      <c r="T560" s="36" t="str">
        <f t="shared" si="35"/>
        <v/>
      </c>
      <c r="U560" s="33">
        <f>IF(AND($O560="Open",OR(Dashboard!$D$3="All",$F560=Dashboard!$D$3)),$H560+ROW()/100000,0)</f>
        <v>0</v>
      </c>
    </row>
    <row r="561" spans="2:21" x14ac:dyDescent="0.25">
      <c r="B561" s="37"/>
      <c r="H561" s="38"/>
      <c r="I561" s="37"/>
      <c r="J561" s="39"/>
      <c r="K561" s="39"/>
      <c r="L561" s="39"/>
      <c r="N561" s="17" t="str">
        <f t="shared" si="32"/>
        <v/>
      </c>
      <c r="O561" s="17" t="str">
        <f t="shared" si="33"/>
        <v/>
      </c>
      <c r="P561" s="17" t="str">
        <f>IF($A561="","",IF($L561&lt;&gt;"",$L561,Settings!$C$3)-INT($B561))</f>
        <v/>
      </c>
      <c r="Q561" s="17" t="str">
        <f>IF($O561&lt;&gt;"Open","",Settings!$C$3-IF($J561&lt;&gt;"",$J561,INT($B561)))</f>
        <v/>
      </c>
      <c r="R561" s="17" t="str">
        <f>IF($A561="","",IF($O561="Closed","Closed",IF($F561="Unassigned","Unassigned",IF(AND($K561&lt;&gt;"",$K561&lt;Settings!$C$3),"Overdue",IF($Q561&gt;=Settings!$C$4,"Inactive","On Track")))))</f>
        <v/>
      </c>
      <c r="S561" s="17" t="str">
        <f t="shared" si="34"/>
        <v/>
      </c>
      <c r="T561" s="36" t="str">
        <f t="shared" si="35"/>
        <v/>
      </c>
      <c r="U561" s="33">
        <f>IF(AND($O561="Open",OR(Dashboard!$D$3="All",$F561=Dashboard!$D$3)),$H561+ROW()/100000,0)</f>
        <v>0</v>
      </c>
    </row>
    <row r="562" spans="2:21" x14ac:dyDescent="0.25">
      <c r="B562" s="37"/>
      <c r="H562" s="38"/>
      <c r="I562" s="37"/>
      <c r="J562" s="39"/>
      <c r="K562" s="39"/>
      <c r="L562" s="39"/>
      <c r="N562" s="17" t="str">
        <f t="shared" si="32"/>
        <v/>
      </c>
      <c r="O562" s="17" t="str">
        <f t="shared" si="33"/>
        <v/>
      </c>
      <c r="P562" s="17" t="str">
        <f>IF($A562="","",IF($L562&lt;&gt;"",$L562,Settings!$C$3)-INT($B562))</f>
        <v/>
      </c>
      <c r="Q562" s="17" t="str">
        <f>IF($O562&lt;&gt;"Open","",Settings!$C$3-IF($J562&lt;&gt;"",$J562,INT($B562)))</f>
        <v/>
      </c>
      <c r="R562" s="17" t="str">
        <f>IF($A562="","",IF($O562="Closed","Closed",IF($F562="Unassigned","Unassigned",IF(AND($K562&lt;&gt;"",$K562&lt;Settings!$C$3),"Overdue",IF($Q562&gt;=Settings!$C$4,"Inactive","On Track")))))</f>
        <v/>
      </c>
      <c r="S562" s="17" t="str">
        <f t="shared" si="34"/>
        <v/>
      </c>
      <c r="T562" s="36" t="str">
        <f t="shared" si="35"/>
        <v/>
      </c>
      <c r="U562" s="33">
        <f>IF(AND($O562="Open",OR(Dashboard!$D$3="All",$F562=Dashboard!$D$3)),$H562+ROW()/100000,0)</f>
        <v>0</v>
      </c>
    </row>
    <row r="563" spans="2:21" x14ac:dyDescent="0.25">
      <c r="B563" s="37"/>
      <c r="H563" s="38"/>
      <c r="I563" s="37"/>
      <c r="J563" s="39"/>
      <c r="K563" s="39"/>
      <c r="L563" s="39"/>
      <c r="N563" s="17" t="str">
        <f t="shared" si="32"/>
        <v/>
      </c>
      <c r="O563" s="17" t="str">
        <f t="shared" si="33"/>
        <v/>
      </c>
      <c r="P563" s="17" t="str">
        <f>IF($A563="","",IF($L563&lt;&gt;"",$L563,Settings!$C$3)-INT($B563))</f>
        <v/>
      </c>
      <c r="Q563" s="17" t="str">
        <f>IF($O563&lt;&gt;"Open","",Settings!$C$3-IF($J563&lt;&gt;"",$J563,INT($B563)))</f>
        <v/>
      </c>
      <c r="R563" s="17" t="str">
        <f>IF($A563="","",IF($O563="Closed","Closed",IF($F563="Unassigned","Unassigned",IF(AND($K563&lt;&gt;"",$K563&lt;Settings!$C$3),"Overdue",IF($Q563&gt;=Settings!$C$4,"Inactive","On Track")))))</f>
        <v/>
      </c>
      <c r="S563" s="17" t="str">
        <f t="shared" si="34"/>
        <v/>
      </c>
      <c r="T563" s="36" t="str">
        <f t="shared" si="35"/>
        <v/>
      </c>
      <c r="U563" s="33">
        <f>IF(AND($O563="Open",OR(Dashboard!$D$3="All",$F563=Dashboard!$D$3)),$H563+ROW()/100000,0)</f>
        <v>0</v>
      </c>
    </row>
    <row r="564" spans="2:21" x14ac:dyDescent="0.25">
      <c r="B564" s="37"/>
      <c r="H564" s="38"/>
      <c r="I564" s="37"/>
      <c r="J564" s="39"/>
      <c r="K564" s="39"/>
      <c r="L564" s="39"/>
      <c r="N564" s="17" t="str">
        <f t="shared" si="32"/>
        <v/>
      </c>
      <c r="O564" s="17" t="str">
        <f t="shared" si="33"/>
        <v/>
      </c>
      <c r="P564" s="17" t="str">
        <f>IF($A564="","",IF($L564&lt;&gt;"",$L564,Settings!$C$3)-INT($B564))</f>
        <v/>
      </c>
      <c r="Q564" s="17" t="str">
        <f>IF($O564&lt;&gt;"Open","",Settings!$C$3-IF($J564&lt;&gt;"",$J564,INT($B564)))</f>
        <v/>
      </c>
      <c r="R564" s="17" t="str">
        <f>IF($A564="","",IF($O564="Closed","Closed",IF($F564="Unassigned","Unassigned",IF(AND($K564&lt;&gt;"",$K564&lt;Settings!$C$3),"Overdue",IF($Q564&gt;=Settings!$C$4,"Inactive","On Track")))))</f>
        <v/>
      </c>
      <c r="S564" s="17" t="str">
        <f t="shared" si="34"/>
        <v/>
      </c>
      <c r="T564" s="36" t="str">
        <f t="shared" si="35"/>
        <v/>
      </c>
      <c r="U564" s="33">
        <f>IF(AND($O564="Open",OR(Dashboard!$D$3="All",$F564=Dashboard!$D$3)),$H564+ROW()/100000,0)</f>
        <v>0</v>
      </c>
    </row>
    <row r="565" spans="2:21" x14ac:dyDescent="0.25">
      <c r="B565" s="37"/>
      <c r="H565" s="38"/>
      <c r="I565" s="37"/>
      <c r="J565" s="39"/>
      <c r="K565" s="39"/>
      <c r="L565" s="39"/>
      <c r="N565" s="17" t="str">
        <f t="shared" si="32"/>
        <v/>
      </c>
      <c r="O565" s="17" t="str">
        <f t="shared" si="33"/>
        <v/>
      </c>
      <c r="P565" s="17" t="str">
        <f>IF($A565="","",IF($L565&lt;&gt;"",$L565,Settings!$C$3)-INT($B565))</f>
        <v/>
      </c>
      <c r="Q565" s="17" t="str">
        <f>IF($O565&lt;&gt;"Open","",Settings!$C$3-IF($J565&lt;&gt;"",$J565,INT($B565)))</f>
        <v/>
      </c>
      <c r="R565" s="17" t="str">
        <f>IF($A565="","",IF($O565="Closed","Closed",IF($F565="Unassigned","Unassigned",IF(AND($K565&lt;&gt;"",$K565&lt;Settings!$C$3),"Overdue",IF($Q565&gt;=Settings!$C$4,"Inactive","On Track")))))</f>
        <v/>
      </c>
      <c r="S565" s="17" t="str">
        <f t="shared" si="34"/>
        <v/>
      </c>
      <c r="T565" s="36" t="str">
        <f t="shared" si="35"/>
        <v/>
      </c>
      <c r="U565" s="33">
        <f>IF(AND($O565="Open",OR(Dashboard!$D$3="All",$F565=Dashboard!$D$3)),$H565+ROW()/100000,0)</f>
        <v>0</v>
      </c>
    </row>
    <row r="566" spans="2:21" x14ac:dyDescent="0.25">
      <c r="B566" s="37"/>
      <c r="H566" s="38"/>
      <c r="I566" s="37"/>
      <c r="J566" s="39"/>
      <c r="K566" s="39"/>
      <c r="L566" s="39"/>
      <c r="N566" s="17" t="str">
        <f t="shared" si="32"/>
        <v/>
      </c>
      <c r="O566" s="17" t="str">
        <f t="shared" si="33"/>
        <v/>
      </c>
      <c r="P566" s="17" t="str">
        <f>IF($A566="","",IF($L566&lt;&gt;"",$L566,Settings!$C$3)-INT($B566))</f>
        <v/>
      </c>
      <c r="Q566" s="17" t="str">
        <f>IF($O566&lt;&gt;"Open","",Settings!$C$3-IF($J566&lt;&gt;"",$J566,INT($B566)))</f>
        <v/>
      </c>
      <c r="R566" s="17" t="str">
        <f>IF($A566="","",IF($O566="Closed","Closed",IF($F566="Unassigned","Unassigned",IF(AND($K566&lt;&gt;"",$K566&lt;Settings!$C$3),"Overdue",IF($Q566&gt;=Settings!$C$4,"Inactive","On Track")))))</f>
        <v/>
      </c>
      <c r="S566" s="17" t="str">
        <f t="shared" si="34"/>
        <v/>
      </c>
      <c r="T566" s="36" t="str">
        <f t="shared" si="35"/>
        <v/>
      </c>
      <c r="U566" s="33">
        <f>IF(AND($O566="Open",OR(Dashboard!$D$3="All",$F566=Dashboard!$D$3)),$H566+ROW()/100000,0)</f>
        <v>0</v>
      </c>
    </row>
    <row r="567" spans="2:21" x14ac:dyDescent="0.25">
      <c r="B567" s="37"/>
      <c r="H567" s="38"/>
      <c r="I567" s="37"/>
      <c r="J567" s="39"/>
      <c r="K567" s="39"/>
      <c r="L567" s="39"/>
      <c r="N567" s="17" t="str">
        <f t="shared" si="32"/>
        <v/>
      </c>
      <c r="O567" s="17" t="str">
        <f t="shared" si="33"/>
        <v/>
      </c>
      <c r="P567" s="17" t="str">
        <f>IF($A567="","",IF($L567&lt;&gt;"",$L567,Settings!$C$3)-INT($B567))</f>
        <v/>
      </c>
      <c r="Q567" s="17" t="str">
        <f>IF($O567&lt;&gt;"Open","",Settings!$C$3-IF($J567&lt;&gt;"",$J567,INT($B567)))</f>
        <v/>
      </c>
      <c r="R567" s="17" t="str">
        <f>IF($A567="","",IF($O567="Closed","Closed",IF($F567="Unassigned","Unassigned",IF(AND($K567&lt;&gt;"",$K567&lt;Settings!$C$3),"Overdue",IF($Q567&gt;=Settings!$C$4,"Inactive","On Track")))))</f>
        <v/>
      </c>
      <c r="S567" s="17" t="str">
        <f t="shared" si="34"/>
        <v/>
      </c>
      <c r="T567" s="36" t="str">
        <f t="shared" si="35"/>
        <v/>
      </c>
      <c r="U567" s="33">
        <f>IF(AND($O567="Open",OR(Dashboard!$D$3="All",$F567=Dashboard!$D$3)),$H567+ROW()/100000,0)</f>
        <v>0</v>
      </c>
    </row>
    <row r="568" spans="2:21" x14ac:dyDescent="0.25">
      <c r="B568" s="37"/>
      <c r="H568" s="38"/>
      <c r="I568" s="37"/>
      <c r="J568" s="39"/>
      <c r="K568" s="39"/>
      <c r="L568" s="39"/>
      <c r="N568" s="17" t="str">
        <f t="shared" si="32"/>
        <v/>
      </c>
      <c r="O568" s="17" t="str">
        <f t="shared" si="33"/>
        <v/>
      </c>
      <c r="P568" s="17" t="str">
        <f>IF($A568="","",IF($L568&lt;&gt;"",$L568,Settings!$C$3)-INT($B568))</f>
        <v/>
      </c>
      <c r="Q568" s="17" t="str">
        <f>IF($O568&lt;&gt;"Open","",Settings!$C$3-IF($J568&lt;&gt;"",$J568,INT($B568)))</f>
        <v/>
      </c>
      <c r="R568" s="17" t="str">
        <f>IF($A568="","",IF($O568="Closed","Closed",IF($F568="Unassigned","Unassigned",IF(AND($K568&lt;&gt;"",$K568&lt;Settings!$C$3),"Overdue",IF($Q568&gt;=Settings!$C$4,"Inactive","On Track")))))</f>
        <v/>
      </c>
      <c r="S568" s="17" t="str">
        <f t="shared" si="34"/>
        <v/>
      </c>
      <c r="T568" s="36" t="str">
        <f t="shared" si="35"/>
        <v/>
      </c>
      <c r="U568" s="33">
        <f>IF(AND($O568="Open",OR(Dashboard!$D$3="All",$F568=Dashboard!$D$3)),$H568+ROW()/100000,0)</f>
        <v>0</v>
      </c>
    </row>
    <row r="569" spans="2:21" x14ac:dyDescent="0.25">
      <c r="B569" s="37"/>
      <c r="H569" s="38"/>
      <c r="I569" s="37"/>
      <c r="J569" s="39"/>
      <c r="K569" s="39"/>
      <c r="L569" s="39"/>
      <c r="N569" s="17" t="str">
        <f t="shared" si="32"/>
        <v/>
      </c>
      <c r="O569" s="17" t="str">
        <f t="shared" si="33"/>
        <v/>
      </c>
      <c r="P569" s="17" t="str">
        <f>IF($A569="","",IF($L569&lt;&gt;"",$L569,Settings!$C$3)-INT($B569))</f>
        <v/>
      </c>
      <c r="Q569" s="17" t="str">
        <f>IF($O569&lt;&gt;"Open","",Settings!$C$3-IF($J569&lt;&gt;"",$J569,INT($B569)))</f>
        <v/>
      </c>
      <c r="R569" s="17" t="str">
        <f>IF($A569="","",IF($O569="Closed","Closed",IF($F569="Unassigned","Unassigned",IF(AND($K569&lt;&gt;"",$K569&lt;Settings!$C$3),"Overdue",IF($Q569&gt;=Settings!$C$4,"Inactive","On Track")))))</f>
        <v/>
      </c>
      <c r="S569" s="17" t="str">
        <f t="shared" si="34"/>
        <v/>
      </c>
      <c r="T569" s="36" t="str">
        <f t="shared" si="35"/>
        <v/>
      </c>
      <c r="U569" s="33">
        <f>IF(AND($O569="Open",OR(Dashboard!$D$3="All",$F569=Dashboard!$D$3)),$H569+ROW()/100000,0)</f>
        <v>0</v>
      </c>
    </row>
    <row r="570" spans="2:21" x14ac:dyDescent="0.25">
      <c r="B570" s="37"/>
      <c r="H570" s="38"/>
      <c r="I570" s="37"/>
      <c r="J570" s="39"/>
      <c r="K570" s="39"/>
      <c r="L570" s="39"/>
      <c r="N570" s="17" t="str">
        <f t="shared" si="32"/>
        <v/>
      </c>
      <c r="O570" s="17" t="str">
        <f t="shared" si="33"/>
        <v/>
      </c>
      <c r="P570" s="17" t="str">
        <f>IF($A570="","",IF($L570&lt;&gt;"",$L570,Settings!$C$3)-INT($B570))</f>
        <v/>
      </c>
      <c r="Q570" s="17" t="str">
        <f>IF($O570&lt;&gt;"Open","",Settings!$C$3-IF($J570&lt;&gt;"",$J570,INT($B570)))</f>
        <v/>
      </c>
      <c r="R570" s="17" t="str">
        <f>IF($A570="","",IF($O570="Closed","Closed",IF($F570="Unassigned","Unassigned",IF(AND($K570&lt;&gt;"",$K570&lt;Settings!$C$3),"Overdue",IF($Q570&gt;=Settings!$C$4,"Inactive","On Track")))))</f>
        <v/>
      </c>
      <c r="S570" s="17" t="str">
        <f t="shared" si="34"/>
        <v/>
      </c>
      <c r="T570" s="36" t="str">
        <f t="shared" si="35"/>
        <v/>
      </c>
      <c r="U570" s="33">
        <f>IF(AND($O570="Open",OR(Dashboard!$D$3="All",$F570=Dashboard!$D$3)),$H570+ROW()/100000,0)</f>
        <v>0</v>
      </c>
    </row>
    <row r="571" spans="2:21" x14ac:dyDescent="0.25">
      <c r="B571" s="37"/>
      <c r="H571" s="38"/>
      <c r="I571" s="37"/>
      <c r="J571" s="39"/>
      <c r="K571" s="39"/>
      <c r="L571" s="39"/>
      <c r="N571" s="17" t="str">
        <f t="shared" si="32"/>
        <v/>
      </c>
      <c r="O571" s="17" t="str">
        <f t="shared" si="33"/>
        <v/>
      </c>
      <c r="P571" s="17" t="str">
        <f>IF($A571="","",IF($L571&lt;&gt;"",$L571,Settings!$C$3)-INT($B571))</f>
        <v/>
      </c>
      <c r="Q571" s="17" t="str">
        <f>IF($O571&lt;&gt;"Open","",Settings!$C$3-IF($J571&lt;&gt;"",$J571,INT($B571)))</f>
        <v/>
      </c>
      <c r="R571" s="17" t="str">
        <f>IF($A571="","",IF($O571="Closed","Closed",IF($F571="Unassigned","Unassigned",IF(AND($K571&lt;&gt;"",$K571&lt;Settings!$C$3),"Overdue",IF($Q571&gt;=Settings!$C$4,"Inactive","On Track")))))</f>
        <v/>
      </c>
      <c r="S571" s="17" t="str">
        <f t="shared" si="34"/>
        <v/>
      </c>
      <c r="T571" s="36" t="str">
        <f t="shared" si="35"/>
        <v/>
      </c>
      <c r="U571" s="33">
        <f>IF(AND($O571="Open",OR(Dashboard!$D$3="All",$F571=Dashboard!$D$3)),$H571+ROW()/100000,0)</f>
        <v>0</v>
      </c>
    </row>
    <row r="572" spans="2:21" x14ac:dyDescent="0.25">
      <c r="B572" s="37"/>
      <c r="H572" s="38"/>
      <c r="I572" s="37"/>
      <c r="J572" s="39"/>
      <c r="K572" s="39"/>
      <c r="L572" s="39"/>
      <c r="N572" s="17" t="str">
        <f t="shared" si="32"/>
        <v/>
      </c>
      <c r="O572" s="17" t="str">
        <f t="shared" si="33"/>
        <v/>
      </c>
      <c r="P572" s="17" t="str">
        <f>IF($A572="","",IF($L572&lt;&gt;"",$L572,Settings!$C$3)-INT($B572))</f>
        <v/>
      </c>
      <c r="Q572" s="17" t="str">
        <f>IF($O572&lt;&gt;"Open","",Settings!$C$3-IF($J572&lt;&gt;"",$J572,INT($B572)))</f>
        <v/>
      </c>
      <c r="R572" s="17" t="str">
        <f>IF($A572="","",IF($O572="Closed","Closed",IF($F572="Unassigned","Unassigned",IF(AND($K572&lt;&gt;"",$K572&lt;Settings!$C$3),"Overdue",IF($Q572&gt;=Settings!$C$4,"Inactive","On Track")))))</f>
        <v/>
      </c>
      <c r="S572" s="17" t="str">
        <f t="shared" si="34"/>
        <v/>
      </c>
      <c r="T572" s="36" t="str">
        <f t="shared" si="35"/>
        <v/>
      </c>
      <c r="U572" s="33">
        <f>IF(AND($O572="Open",OR(Dashboard!$D$3="All",$F572=Dashboard!$D$3)),$H572+ROW()/100000,0)</f>
        <v>0</v>
      </c>
    </row>
    <row r="573" spans="2:21" x14ac:dyDescent="0.25">
      <c r="B573" s="37"/>
      <c r="H573" s="38"/>
      <c r="I573" s="37"/>
      <c r="J573" s="39"/>
      <c r="K573" s="39"/>
      <c r="L573" s="39"/>
      <c r="N573" s="17" t="str">
        <f t="shared" si="32"/>
        <v/>
      </c>
      <c r="O573" s="17" t="str">
        <f t="shared" si="33"/>
        <v/>
      </c>
      <c r="P573" s="17" t="str">
        <f>IF($A573="","",IF($L573&lt;&gt;"",$L573,Settings!$C$3)-INT($B573))</f>
        <v/>
      </c>
      <c r="Q573" s="17" t="str">
        <f>IF($O573&lt;&gt;"Open","",Settings!$C$3-IF($J573&lt;&gt;"",$J573,INT($B573)))</f>
        <v/>
      </c>
      <c r="R573" s="17" t="str">
        <f>IF($A573="","",IF($O573="Closed","Closed",IF($F573="Unassigned","Unassigned",IF(AND($K573&lt;&gt;"",$K573&lt;Settings!$C$3),"Overdue",IF($Q573&gt;=Settings!$C$4,"Inactive","On Track")))))</f>
        <v/>
      </c>
      <c r="S573" s="17" t="str">
        <f t="shared" si="34"/>
        <v/>
      </c>
      <c r="T573" s="36" t="str">
        <f t="shared" si="35"/>
        <v/>
      </c>
      <c r="U573" s="33">
        <f>IF(AND($O573="Open",OR(Dashboard!$D$3="All",$F573=Dashboard!$D$3)),$H573+ROW()/100000,0)</f>
        <v>0</v>
      </c>
    </row>
    <row r="574" spans="2:21" x14ac:dyDescent="0.25">
      <c r="B574" s="37"/>
      <c r="H574" s="38"/>
      <c r="I574" s="37"/>
      <c r="J574" s="39"/>
      <c r="K574" s="39"/>
      <c r="L574" s="39"/>
      <c r="N574" s="17" t="str">
        <f t="shared" si="32"/>
        <v/>
      </c>
      <c r="O574" s="17" t="str">
        <f t="shared" si="33"/>
        <v/>
      </c>
      <c r="P574" s="17" t="str">
        <f>IF($A574="","",IF($L574&lt;&gt;"",$L574,Settings!$C$3)-INT($B574))</f>
        <v/>
      </c>
      <c r="Q574" s="17" t="str">
        <f>IF($O574&lt;&gt;"Open","",Settings!$C$3-IF($J574&lt;&gt;"",$J574,INT($B574)))</f>
        <v/>
      </c>
      <c r="R574" s="17" t="str">
        <f>IF($A574="","",IF($O574="Closed","Closed",IF($F574="Unassigned","Unassigned",IF(AND($K574&lt;&gt;"",$K574&lt;Settings!$C$3),"Overdue",IF($Q574&gt;=Settings!$C$4,"Inactive","On Track")))))</f>
        <v/>
      </c>
      <c r="S574" s="17" t="str">
        <f t="shared" si="34"/>
        <v/>
      </c>
      <c r="T574" s="36" t="str">
        <f t="shared" si="35"/>
        <v/>
      </c>
      <c r="U574" s="33">
        <f>IF(AND($O574="Open",OR(Dashboard!$D$3="All",$F574=Dashboard!$D$3)),$H574+ROW()/100000,0)</f>
        <v>0</v>
      </c>
    </row>
    <row r="575" spans="2:21" x14ac:dyDescent="0.25">
      <c r="B575" s="37"/>
      <c r="H575" s="38"/>
      <c r="I575" s="37"/>
      <c r="J575" s="39"/>
      <c r="K575" s="39"/>
      <c r="L575" s="39"/>
      <c r="N575" s="17" t="str">
        <f t="shared" si="32"/>
        <v/>
      </c>
      <c r="O575" s="17" t="str">
        <f t="shared" si="33"/>
        <v/>
      </c>
      <c r="P575" s="17" t="str">
        <f>IF($A575="","",IF($L575&lt;&gt;"",$L575,Settings!$C$3)-INT($B575))</f>
        <v/>
      </c>
      <c r="Q575" s="17" t="str">
        <f>IF($O575&lt;&gt;"Open","",Settings!$C$3-IF($J575&lt;&gt;"",$J575,INT($B575)))</f>
        <v/>
      </c>
      <c r="R575" s="17" t="str">
        <f>IF($A575="","",IF($O575="Closed","Closed",IF($F575="Unassigned","Unassigned",IF(AND($K575&lt;&gt;"",$K575&lt;Settings!$C$3),"Overdue",IF($Q575&gt;=Settings!$C$4,"Inactive","On Track")))))</f>
        <v/>
      </c>
      <c r="S575" s="17" t="str">
        <f t="shared" si="34"/>
        <v/>
      </c>
      <c r="T575" s="36" t="str">
        <f t="shared" si="35"/>
        <v/>
      </c>
      <c r="U575" s="33">
        <f>IF(AND($O575="Open",OR(Dashboard!$D$3="All",$F575=Dashboard!$D$3)),$H575+ROW()/100000,0)</f>
        <v>0</v>
      </c>
    </row>
    <row r="576" spans="2:21" x14ac:dyDescent="0.25">
      <c r="B576" s="37"/>
      <c r="H576" s="38"/>
      <c r="I576" s="37"/>
      <c r="J576" s="39"/>
      <c r="K576" s="39"/>
      <c r="L576" s="39"/>
      <c r="N576" s="17" t="str">
        <f t="shared" si="32"/>
        <v/>
      </c>
      <c r="O576" s="17" t="str">
        <f t="shared" si="33"/>
        <v/>
      </c>
      <c r="P576" s="17" t="str">
        <f>IF($A576="","",IF($L576&lt;&gt;"",$L576,Settings!$C$3)-INT($B576))</f>
        <v/>
      </c>
      <c r="Q576" s="17" t="str">
        <f>IF($O576&lt;&gt;"Open","",Settings!$C$3-IF($J576&lt;&gt;"",$J576,INT($B576)))</f>
        <v/>
      </c>
      <c r="R576" s="17" t="str">
        <f>IF($A576="","",IF($O576="Closed","Closed",IF($F576="Unassigned","Unassigned",IF(AND($K576&lt;&gt;"",$K576&lt;Settings!$C$3),"Overdue",IF($Q576&gt;=Settings!$C$4,"Inactive","On Track")))))</f>
        <v/>
      </c>
      <c r="S576" s="17" t="str">
        <f t="shared" si="34"/>
        <v/>
      </c>
      <c r="T576" s="36" t="str">
        <f t="shared" si="35"/>
        <v/>
      </c>
      <c r="U576" s="33">
        <f>IF(AND($O576="Open",OR(Dashboard!$D$3="All",$F576=Dashboard!$D$3)),$H576+ROW()/100000,0)</f>
        <v>0</v>
      </c>
    </row>
    <row r="577" spans="2:21" x14ac:dyDescent="0.25">
      <c r="B577" s="37"/>
      <c r="H577" s="38"/>
      <c r="I577" s="37"/>
      <c r="J577" s="39"/>
      <c r="K577" s="39"/>
      <c r="L577" s="39"/>
      <c r="N577" s="17" t="str">
        <f t="shared" si="32"/>
        <v/>
      </c>
      <c r="O577" s="17" t="str">
        <f t="shared" si="33"/>
        <v/>
      </c>
      <c r="P577" s="17" t="str">
        <f>IF($A577="","",IF($L577&lt;&gt;"",$L577,Settings!$C$3)-INT($B577))</f>
        <v/>
      </c>
      <c r="Q577" s="17" t="str">
        <f>IF($O577&lt;&gt;"Open","",Settings!$C$3-IF($J577&lt;&gt;"",$J577,INT($B577)))</f>
        <v/>
      </c>
      <c r="R577" s="17" t="str">
        <f>IF($A577="","",IF($O577="Closed","Closed",IF($F577="Unassigned","Unassigned",IF(AND($K577&lt;&gt;"",$K577&lt;Settings!$C$3),"Overdue",IF($Q577&gt;=Settings!$C$4,"Inactive","On Track")))))</f>
        <v/>
      </c>
      <c r="S577" s="17" t="str">
        <f t="shared" si="34"/>
        <v/>
      </c>
      <c r="T577" s="36" t="str">
        <f t="shared" si="35"/>
        <v/>
      </c>
      <c r="U577" s="33">
        <f>IF(AND($O577="Open",OR(Dashboard!$D$3="All",$F577=Dashboard!$D$3)),$H577+ROW()/100000,0)</f>
        <v>0</v>
      </c>
    </row>
    <row r="578" spans="2:21" x14ac:dyDescent="0.25">
      <c r="B578" s="37"/>
      <c r="H578" s="38"/>
      <c r="I578" s="37"/>
      <c r="J578" s="39"/>
      <c r="K578" s="39"/>
      <c r="L578" s="39"/>
      <c r="N578" s="17" t="str">
        <f t="shared" ref="N578:N600" si="36">IF(OR($A578="",$I578=""),"",ROUND(($I578-$B578)*24,1))</f>
        <v/>
      </c>
      <c r="O578" s="17" t="str">
        <f t="shared" ref="O578:O600" si="37">IF($A578="","",IF(OR($G578="Won",$G578="Lost"),"Closed","Open"))</f>
        <v/>
      </c>
      <c r="P578" s="17" t="str">
        <f>IF($A578="","",IF($L578&lt;&gt;"",$L578,Settings!$C$3)-INT($B578))</f>
        <v/>
      </c>
      <c r="Q578" s="17" t="str">
        <f>IF($O578&lt;&gt;"Open","",Settings!$C$3-IF($J578&lt;&gt;"",$J578,INT($B578)))</f>
        <v/>
      </c>
      <c r="R578" s="17" t="str">
        <f>IF($A578="","",IF($O578="Closed","Closed",IF($F578="Unassigned","Unassigned",IF(AND($K578&lt;&gt;"",$K578&lt;Settings!$C$3),"Overdue",IF($Q578&gt;=Settings!$C$4,"Inactive","On Track")))))</f>
        <v/>
      </c>
      <c r="S578" s="17" t="str">
        <f t="shared" ref="S578:S600" si="38">IF($O578&lt;&gt;"Open","",IF($P578&lt;=7,"0-7 days",IF($P578&lt;=15,"8-15 days",IF($P578&lt;=30,"16-30 days",IF($P578&lt;=60,"31-60 days","60+ days")))))</f>
        <v/>
      </c>
      <c r="T578" s="36" t="str">
        <f t="shared" ref="T578:T600" si="39">IF($A578="","",DATE(YEAR($B578),MONTH($B578),1))</f>
        <v/>
      </c>
      <c r="U578" s="33">
        <f>IF(AND($O578="Open",OR(Dashboard!$D$3="All",$F578=Dashboard!$D$3)),$H578+ROW()/100000,0)</f>
        <v>0</v>
      </c>
    </row>
    <row r="579" spans="2:21" x14ac:dyDescent="0.25">
      <c r="B579" s="37"/>
      <c r="H579" s="38"/>
      <c r="I579" s="37"/>
      <c r="J579" s="39"/>
      <c r="K579" s="39"/>
      <c r="L579" s="39"/>
      <c r="N579" s="17" t="str">
        <f t="shared" si="36"/>
        <v/>
      </c>
      <c r="O579" s="17" t="str">
        <f t="shared" si="37"/>
        <v/>
      </c>
      <c r="P579" s="17" t="str">
        <f>IF($A579="","",IF($L579&lt;&gt;"",$L579,Settings!$C$3)-INT($B579))</f>
        <v/>
      </c>
      <c r="Q579" s="17" t="str">
        <f>IF($O579&lt;&gt;"Open","",Settings!$C$3-IF($J579&lt;&gt;"",$J579,INT($B579)))</f>
        <v/>
      </c>
      <c r="R579" s="17" t="str">
        <f>IF($A579="","",IF($O579="Closed","Closed",IF($F579="Unassigned","Unassigned",IF(AND($K579&lt;&gt;"",$K579&lt;Settings!$C$3),"Overdue",IF($Q579&gt;=Settings!$C$4,"Inactive","On Track")))))</f>
        <v/>
      </c>
      <c r="S579" s="17" t="str">
        <f t="shared" si="38"/>
        <v/>
      </c>
      <c r="T579" s="36" t="str">
        <f t="shared" si="39"/>
        <v/>
      </c>
      <c r="U579" s="33">
        <f>IF(AND($O579="Open",OR(Dashboard!$D$3="All",$F579=Dashboard!$D$3)),$H579+ROW()/100000,0)</f>
        <v>0</v>
      </c>
    </row>
    <row r="580" spans="2:21" x14ac:dyDescent="0.25">
      <c r="B580" s="37"/>
      <c r="H580" s="38"/>
      <c r="I580" s="37"/>
      <c r="J580" s="39"/>
      <c r="K580" s="39"/>
      <c r="L580" s="39"/>
      <c r="N580" s="17" t="str">
        <f t="shared" si="36"/>
        <v/>
      </c>
      <c r="O580" s="17" t="str">
        <f t="shared" si="37"/>
        <v/>
      </c>
      <c r="P580" s="17" t="str">
        <f>IF($A580="","",IF($L580&lt;&gt;"",$L580,Settings!$C$3)-INT($B580))</f>
        <v/>
      </c>
      <c r="Q580" s="17" t="str">
        <f>IF($O580&lt;&gt;"Open","",Settings!$C$3-IF($J580&lt;&gt;"",$J580,INT($B580)))</f>
        <v/>
      </c>
      <c r="R580" s="17" t="str">
        <f>IF($A580="","",IF($O580="Closed","Closed",IF($F580="Unassigned","Unassigned",IF(AND($K580&lt;&gt;"",$K580&lt;Settings!$C$3),"Overdue",IF($Q580&gt;=Settings!$C$4,"Inactive","On Track")))))</f>
        <v/>
      </c>
      <c r="S580" s="17" t="str">
        <f t="shared" si="38"/>
        <v/>
      </c>
      <c r="T580" s="36" t="str">
        <f t="shared" si="39"/>
        <v/>
      </c>
      <c r="U580" s="33">
        <f>IF(AND($O580="Open",OR(Dashboard!$D$3="All",$F580=Dashboard!$D$3)),$H580+ROW()/100000,0)</f>
        <v>0</v>
      </c>
    </row>
    <row r="581" spans="2:21" x14ac:dyDescent="0.25">
      <c r="B581" s="37"/>
      <c r="H581" s="38"/>
      <c r="I581" s="37"/>
      <c r="J581" s="39"/>
      <c r="K581" s="39"/>
      <c r="L581" s="39"/>
      <c r="N581" s="17" t="str">
        <f t="shared" si="36"/>
        <v/>
      </c>
      <c r="O581" s="17" t="str">
        <f t="shared" si="37"/>
        <v/>
      </c>
      <c r="P581" s="17" t="str">
        <f>IF($A581="","",IF($L581&lt;&gt;"",$L581,Settings!$C$3)-INT($B581))</f>
        <v/>
      </c>
      <c r="Q581" s="17" t="str">
        <f>IF($O581&lt;&gt;"Open","",Settings!$C$3-IF($J581&lt;&gt;"",$J581,INT($B581)))</f>
        <v/>
      </c>
      <c r="R581" s="17" t="str">
        <f>IF($A581="","",IF($O581="Closed","Closed",IF($F581="Unassigned","Unassigned",IF(AND($K581&lt;&gt;"",$K581&lt;Settings!$C$3),"Overdue",IF($Q581&gt;=Settings!$C$4,"Inactive","On Track")))))</f>
        <v/>
      </c>
      <c r="S581" s="17" t="str">
        <f t="shared" si="38"/>
        <v/>
      </c>
      <c r="T581" s="36" t="str">
        <f t="shared" si="39"/>
        <v/>
      </c>
      <c r="U581" s="33">
        <f>IF(AND($O581="Open",OR(Dashboard!$D$3="All",$F581=Dashboard!$D$3)),$H581+ROW()/100000,0)</f>
        <v>0</v>
      </c>
    </row>
    <row r="582" spans="2:21" x14ac:dyDescent="0.25">
      <c r="B582" s="37"/>
      <c r="H582" s="38"/>
      <c r="I582" s="37"/>
      <c r="J582" s="39"/>
      <c r="K582" s="39"/>
      <c r="L582" s="39"/>
      <c r="N582" s="17" t="str">
        <f t="shared" si="36"/>
        <v/>
      </c>
      <c r="O582" s="17" t="str">
        <f t="shared" si="37"/>
        <v/>
      </c>
      <c r="P582" s="17" t="str">
        <f>IF($A582="","",IF($L582&lt;&gt;"",$L582,Settings!$C$3)-INT($B582))</f>
        <v/>
      </c>
      <c r="Q582" s="17" t="str">
        <f>IF($O582&lt;&gt;"Open","",Settings!$C$3-IF($J582&lt;&gt;"",$J582,INT($B582)))</f>
        <v/>
      </c>
      <c r="R582" s="17" t="str">
        <f>IF($A582="","",IF($O582="Closed","Closed",IF($F582="Unassigned","Unassigned",IF(AND($K582&lt;&gt;"",$K582&lt;Settings!$C$3),"Overdue",IF($Q582&gt;=Settings!$C$4,"Inactive","On Track")))))</f>
        <v/>
      </c>
      <c r="S582" s="17" t="str">
        <f t="shared" si="38"/>
        <v/>
      </c>
      <c r="T582" s="36" t="str">
        <f t="shared" si="39"/>
        <v/>
      </c>
      <c r="U582" s="33">
        <f>IF(AND($O582="Open",OR(Dashboard!$D$3="All",$F582=Dashboard!$D$3)),$H582+ROW()/100000,0)</f>
        <v>0</v>
      </c>
    </row>
    <row r="583" spans="2:21" x14ac:dyDescent="0.25">
      <c r="B583" s="37"/>
      <c r="H583" s="38"/>
      <c r="I583" s="37"/>
      <c r="J583" s="39"/>
      <c r="K583" s="39"/>
      <c r="L583" s="39"/>
      <c r="N583" s="17" t="str">
        <f t="shared" si="36"/>
        <v/>
      </c>
      <c r="O583" s="17" t="str">
        <f t="shared" si="37"/>
        <v/>
      </c>
      <c r="P583" s="17" t="str">
        <f>IF($A583="","",IF($L583&lt;&gt;"",$L583,Settings!$C$3)-INT($B583))</f>
        <v/>
      </c>
      <c r="Q583" s="17" t="str">
        <f>IF($O583&lt;&gt;"Open","",Settings!$C$3-IF($J583&lt;&gt;"",$J583,INT($B583)))</f>
        <v/>
      </c>
      <c r="R583" s="17" t="str">
        <f>IF($A583="","",IF($O583="Closed","Closed",IF($F583="Unassigned","Unassigned",IF(AND($K583&lt;&gt;"",$K583&lt;Settings!$C$3),"Overdue",IF($Q583&gt;=Settings!$C$4,"Inactive","On Track")))))</f>
        <v/>
      </c>
      <c r="S583" s="17" t="str">
        <f t="shared" si="38"/>
        <v/>
      </c>
      <c r="T583" s="36" t="str">
        <f t="shared" si="39"/>
        <v/>
      </c>
      <c r="U583" s="33">
        <f>IF(AND($O583="Open",OR(Dashboard!$D$3="All",$F583=Dashboard!$D$3)),$H583+ROW()/100000,0)</f>
        <v>0</v>
      </c>
    </row>
    <row r="584" spans="2:21" x14ac:dyDescent="0.25">
      <c r="B584" s="37"/>
      <c r="H584" s="38"/>
      <c r="I584" s="37"/>
      <c r="J584" s="39"/>
      <c r="K584" s="39"/>
      <c r="L584" s="39"/>
      <c r="N584" s="17" t="str">
        <f t="shared" si="36"/>
        <v/>
      </c>
      <c r="O584" s="17" t="str">
        <f t="shared" si="37"/>
        <v/>
      </c>
      <c r="P584" s="17" t="str">
        <f>IF($A584="","",IF($L584&lt;&gt;"",$L584,Settings!$C$3)-INT($B584))</f>
        <v/>
      </c>
      <c r="Q584" s="17" t="str">
        <f>IF($O584&lt;&gt;"Open","",Settings!$C$3-IF($J584&lt;&gt;"",$J584,INT($B584)))</f>
        <v/>
      </c>
      <c r="R584" s="17" t="str">
        <f>IF($A584="","",IF($O584="Closed","Closed",IF($F584="Unassigned","Unassigned",IF(AND($K584&lt;&gt;"",$K584&lt;Settings!$C$3),"Overdue",IF($Q584&gt;=Settings!$C$4,"Inactive","On Track")))))</f>
        <v/>
      </c>
      <c r="S584" s="17" t="str">
        <f t="shared" si="38"/>
        <v/>
      </c>
      <c r="T584" s="36" t="str">
        <f t="shared" si="39"/>
        <v/>
      </c>
      <c r="U584" s="33">
        <f>IF(AND($O584="Open",OR(Dashboard!$D$3="All",$F584=Dashboard!$D$3)),$H584+ROW()/100000,0)</f>
        <v>0</v>
      </c>
    </row>
    <row r="585" spans="2:21" x14ac:dyDescent="0.25">
      <c r="B585" s="37"/>
      <c r="H585" s="38"/>
      <c r="I585" s="37"/>
      <c r="J585" s="39"/>
      <c r="K585" s="39"/>
      <c r="L585" s="39"/>
      <c r="N585" s="17" t="str">
        <f t="shared" si="36"/>
        <v/>
      </c>
      <c r="O585" s="17" t="str">
        <f t="shared" si="37"/>
        <v/>
      </c>
      <c r="P585" s="17" t="str">
        <f>IF($A585="","",IF($L585&lt;&gt;"",$L585,Settings!$C$3)-INT($B585))</f>
        <v/>
      </c>
      <c r="Q585" s="17" t="str">
        <f>IF($O585&lt;&gt;"Open","",Settings!$C$3-IF($J585&lt;&gt;"",$J585,INT($B585)))</f>
        <v/>
      </c>
      <c r="R585" s="17" t="str">
        <f>IF($A585="","",IF($O585="Closed","Closed",IF($F585="Unassigned","Unassigned",IF(AND($K585&lt;&gt;"",$K585&lt;Settings!$C$3),"Overdue",IF($Q585&gt;=Settings!$C$4,"Inactive","On Track")))))</f>
        <v/>
      </c>
      <c r="S585" s="17" t="str">
        <f t="shared" si="38"/>
        <v/>
      </c>
      <c r="T585" s="36" t="str">
        <f t="shared" si="39"/>
        <v/>
      </c>
      <c r="U585" s="33">
        <f>IF(AND($O585="Open",OR(Dashboard!$D$3="All",$F585=Dashboard!$D$3)),$H585+ROW()/100000,0)</f>
        <v>0</v>
      </c>
    </row>
    <row r="586" spans="2:21" x14ac:dyDescent="0.25">
      <c r="B586" s="37"/>
      <c r="H586" s="38"/>
      <c r="I586" s="37"/>
      <c r="J586" s="39"/>
      <c r="K586" s="39"/>
      <c r="L586" s="39"/>
      <c r="N586" s="17" t="str">
        <f t="shared" si="36"/>
        <v/>
      </c>
      <c r="O586" s="17" t="str">
        <f t="shared" si="37"/>
        <v/>
      </c>
      <c r="P586" s="17" t="str">
        <f>IF($A586="","",IF($L586&lt;&gt;"",$L586,Settings!$C$3)-INT($B586))</f>
        <v/>
      </c>
      <c r="Q586" s="17" t="str">
        <f>IF($O586&lt;&gt;"Open","",Settings!$C$3-IF($J586&lt;&gt;"",$J586,INT($B586)))</f>
        <v/>
      </c>
      <c r="R586" s="17" t="str">
        <f>IF($A586="","",IF($O586="Closed","Closed",IF($F586="Unassigned","Unassigned",IF(AND($K586&lt;&gt;"",$K586&lt;Settings!$C$3),"Overdue",IF($Q586&gt;=Settings!$C$4,"Inactive","On Track")))))</f>
        <v/>
      </c>
      <c r="S586" s="17" t="str">
        <f t="shared" si="38"/>
        <v/>
      </c>
      <c r="T586" s="36" t="str">
        <f t="shared" si="39"/>
        <v/>
      </c>
      <c r="U586" s="33">
        <f>IF(AND($O586="Open",OR(Dashboard!$D$3="All",$F586=Dashboard!$D$3)),$H586+ROW()/100000,0)</f>
        <v>0</v>
      </c>
    </row>
    <row r="587" spans="2:21" x14ac:dyDescent="0.25">
      <c r="B587" s="37"/>
      <c r="H587" s="38"/>
      <c r="I587" s="37"/>
      <c r="J587" s="39"/>
      <c r="K587" s="39"/>
      <c r="L587" s="39"/>
      <c r="N587" s="17" t="str">
        <f t="shared" si="36"/>
        <v/>
      </c>
      <c r="O587" s="17" t="str">
        <f t="shared" si="37"/>
        <v/>
      </c>
      <c r="P587" s="17" t="str">
        <f>IF($A587="","",IF($L587&lt;&gt;"",$L587,Settings!$C$3)-INT($B587))</f>
        <v/>
      </c>
      <c r="Q587" s="17" t="str">
        <f>IF($O587&lt;&gt;"Open","",Settings!$C$3-IF($J587&lt;&gt;"",$J587,INT($B587)))</f>
        <v/>
      </c>
      <c r="R587" s="17" t="str">
        <f>IF($A587="","",IF($O587="Closed","Closed",IF($F587="Unassigned","Unassigned",IF(AND($K587&lt;&gt;"",$K587&lt;Settings!$C$3),"Overdue",IF($Q587&gt;=Settings!$C$4,"Inactive","On Track")))))</f>
        <v/>
      </c>
      <c r="S587" s="17" t="str">
        <f t="shared" si="38"/>
        <v/>
      </c>
      <c r="T587" s="36" t="str">
        <f t="shared" si="39"/>
        <v/>
      </c>
      <c r="U587" s="33">
        <f>IF(AND($O587="Open",OR(Dashboard!$D$3="All",$F587=Dashboard!$D$3)),$H587+ROW()/100000,0)</f>
        <v>0</v>
      </c>
    </row>
    <row r="588" spans="2:21" x14ac:dyDescent="0.25">
      <c r="B588" s="37"/>
      <c r="H588" s="38"/>
      <c r="I588" s="37"/>
      <c r="J588" s="39"/>
      <c r="K588" s="39"/>
      <c r="L588" s="39"/>
      <c r="N588" s="17" t="str">
        <f t="shared" si="36"/>
        <v/>
      </c>
      <c r="O588" s="17" t="str">
        <f t="shared" si="37"/>
        <v/>
      </c>
      <c r="P588" s="17" t="str">
        <f>IF($A588="","",IF($L588&lt;&gt;"",$L588,Settings!$C$3)-INT($B588))</f>
        <v/>
      </c>
      <c r="Q588" s="17" t="str">
        <f>IF($O588&lt;&gt;"Open","",Settings!$C$3-IF($J588&lt;&gt;"",$J588,INT($B588)))</f>
        <v/>
      </c>
      <c r="R588" s="17" t="str">
        <f>IF($A588="","",IF($O588="Closed","Closed",IF($F588="Unassigned","Unassigned",IF(AND($K588&lt;&gt;"",$K588&lt;Settings!$C$3),"Overdue",IF($Q588&gt;=Settings!$C$4,"Inactive","On Track")))))</f>
        <v/>
      </c>
      <c r="S588" s="17" t="str">
        <f t="shared" si="38"/>
        <v/>
      </c>
      <c r="T588" s="36" t="str">
        <f t="shared" si="39"/>
        <v/>
      </c>
      <c r="U588" s="33">
        <f>IF(AND($O588="Open",OR(Dashboard!$D$3="All",$F588=Dashboard!$D$3)),$H588+ROW()/100000,0)</f>
        <v>0</v>
      </c>
    </row>
    <row r="589" spans="2:21" x14ac:dyDescent="0.25">
      <c r="B589" s="37"/>
      <c r="H589" s="38"/>
      <c r="I589" s="37"/>
      <c r="J589" s="39"/>
      <c r="K589" s="39"/>
      <c r="L589" s="39"/>
      <c r="N589" s="17" t="str">
        <f t="shared" si="36"/>
        <v/>
      </c>
      <c r="O589" s="17" t="str">
        <f t="shared" si="37"/>
        <v/>
      </c>
      <c r="P589" s="17" t="str">
        <f>IF($A589="","",IF($L589&lt;&gt;"",$L589,Settings!$C$3)-INT($B589))</f>
        <v/>
      </c>
      <c r="Q589" s="17" t="str">
        <f>IF($O589&lt;&gt;"Open","",Settings!$C$3-IF($J589&lt;&gt;"",$J589,INT($B589)))</f>
        <v/>
      </c>
      <c r="R589" s="17" t="str">
        <f>IF($A589="","",IF($O589="Closed","Closed",IF($F589="Unassigned","Unassigned",IF(AND($K589&lt;&gt;"",$K589&lt;Settings!$C$3),"Overdue",IF($Q589&gt;=Settings!$C$4,"Inactive","On Track")))))</f>
        <v/>
      </c>
      <c r="S589" s="17" t="str">
        <f t="shared" si="38"/>
        <v/>
      </c>
      <c r="T589" s="36" t="str">
        <f t="shared" si="39"/>
        <v/>
      </c>
      <c r="U589" s="33">
        <f>IF(AND($O589="Open",OR(Dashboard!$D$3="All",$F589=Dashboard!$D$3)),$H589+ROW()/100000,0)</f>
        <v>0</v>
      </c>
    </row>
    <row r="590" spans="2:21" x14ac:dyDescent="0.25">
      <c r="B590" s="37"/>
      <c r="H590" s="38"/>
      <c r="I590" s="37"/>
      <c r="J590" s="39"/>
      <c r="K590" s="39"/>
      <c r="L590" s="39"/>
      <c r="N590" s="17" t="str">
        <f t="shared" si="36"/>
        <v/>
      </c>
      <c r="O590" s="17" t="str">
        <f t="shared" si="37"/>
        <v/>
      </c>
      <c r="P590" s="17" t="str">
        <f>IF($A590="","",IF($L590&lt;&gt;"",$L590,Settings!$C$3)-INT($B590))</f>
        <v/>
      </c>
      <c r="Q590" s="17" t="str">
        <f>IF($O590&lt;&gt;"Open","",Settings!$C$3-IF($J590&lt;&gt;"",$J590,INT($B590)))</f>
        <v/>
      </c>
      <c r="R590" s="17" t="str">
        <f>IF($A590="","",IF($O590="Closed","Closed",IF($F590="Unassigned","Unassigned",IF(AND($K590&lt;&gt;"",$K590&lt;Settings!$C$3),"Overdue",IF($Q590&gt;=Settings!$C$4,"Inactive","On Track")))))</f>
        <v/>
      </c>
      <c r="S590" s="17" t="str">
        <f t="shared" si="38"/>
        <v/>
      </c>
      <c r="T590" s="36" t="str">
        <f t="shared" si="39"/>
        <v/>
      </c>
      <c r="U590" s="33">
        <f>IF(AND($O590="Open",OR(Dashboard!$D$3="All",$F590=Dashboard!$D$3)),$H590+ROW()/100000,0)</f>
        <v>0</v>
      </c>
    </row>
    <row r="591" spans="2:21" x14ac:dyDescent="0.25">
      <c r="B591" s="37"/>
      <c r="H591" s="38"/>
      <c r="I591" s="37"/>
      <c r="J591" s="39"/>
      <c r="K591" s="39"/>
      <c r="L591" s="39"/>
      <c r="N591" s="17" t="str">
        <f t="shared" si="36"/>
        <v/>
      </c>
      <c r="O591" s="17" t="str">
        <f t="shared" si="37"/>
        <v/>
      </c>
      <c r="P591" s="17" t="str">
        <f>IF($A591="","",IF($L591&lt;&gt;"",$L591,Settings!$C$3)-INT($B591))</f>
        <v/>
      </c>
      <c r="Q591" s="17" t="str">
        <f>IF($O591&lt;&gt;"Open","",Settings!$C$3-IF($J591&lt;&gt;"",$J591,INT($B591)))</f>
        <v/>
      </c>
      <c r="R591" s="17" t="str">
        <f>IF($A591="","",IF($O591="Closed","Closed",IF($F591="Unassigned","Unassigned",IF(AND($K591&lt;&gt;"",$K591&lt;Settings!$C$3),"Overdue",IF($Q591&gt;=Settings!$C$4,"Inactive","On Track")))))</f>
        <v/>
      </c>
      <c r="S591" s="17" t="str">
        <f t="shared" si="38"/>
        <v/>
      </c>
      <c r="T591" s="36" t="str">
        <f t="shared" si="39"/>
        <v/>
      </c>
      <c r="U591" s="33">
        <f>IF(AND($O591="Open",OR(Dashboard!$D$3="All",$F591=Dashboard!$D$3)),$H591+ROW()/100000,0)</f>
        <v>0</v>
      </c>
    </row>
    <row r="592" spans="2:21" x14ac:dyDescent="0.25">
      <c r="B592" s="37"/>
      <c r="H592" s="38"/>
      <c r="I592" s="37"/>
      <c r="J592" s="39"/>
      <c r="K592" s="39"/>
      <c r="L592" s="39"/>
      <c r="N592" s="17" t="str">
        <f t="shared" si="36"/>
        <v/>
      </c>
      <c r="O592" s="17" t="str">
        <f t="shared" si="37"/>
        <v/>
      </c>
      <c r="P592" s="17" t="str">
        <f>IF($A592="","",IF($L592&lt;&gt;"",$L592,Settings!$C$3)-INT($B592))</f>
        <v/>
      </c>
      <c r="Q592" s="17" t="str">
        <f>IF($O592&lt;&gt;"Open","",Settings!$C$3-IF($J592&lt;&gt;"",$J592,INT($B592)))</f>
        <v/>
      </c>
      <c r="R592" s="17" t="str">
        <f>IF($A592="","",IF($O592="Closed","Closed",IF($F592="Unassigned","Unassigned",IF(AND($K592&lt;&gt;"",$K592&lt;Settings!$C$3),"Overdue",IF($Q592&gt;=Settings!$C$4,"Inactive","On Track")))))</f>
        <v/>
      </c>
      <c r="S592" s="17" t="str">
        <f t="shared" si="38"/>
        <v/>
      </c>
      <c r="T592" s="36" t="str">
        <f t="shared" si="39"/>
        <v/>
      </c>
      <c r="U592" s="33">
        <f>IF(AND($O592="Open",OR(Dashboard!$D$3="All",$F592=Dashboard!$D$3)),$H592+ROW()/100000,0)</f>
        <v>0</v>
      </c>
    </row>
    <row r="593" spans="2:21" x14ac:dyDescent="0.25">
      <c r="B593" s="37"/>
      <c r="H593" s="38"/>
      <c r="I593" s="37"/>
      <c r="J593" s="39"/>
      <c r="K593" s="39"/>
      <c r="L593" s="39"/>
      <c r="N593" s="17" t="str">
        <f t="shared" si="36"/>
        <v/>
      </c>
      <c r="O593" s="17" t="str">
        <f t="shared" si="37"/>
        <v/>
      </c>
      <c r="P593" s="17" t="str">
        <f>IF($A593="","",IF($L593&lt;&gt;"",$L593,Settings!$C$3)-INT($B593))</f>
        <v/>
      </c>
      <c r="Q593" s="17" t="str">
        <f>IF($O593&lt;&gt;"Open","",Settings!$C$3-IF($J593&lt;&gt;"",$J593,INT($B593)))</f>
        <v/>
      </c>
      <c r="R593" s="17" t="str">
        <f>IF($A593="","",IF($O593="Closed","Closed",IF($F593="Unassigned","Unassigned",IF(AND($K593&lt;&gt;"",$K593&lt;Settings!$C$3),"Overdue",IF($Q593&gt;=Settings!$C$4,"Inactive","On Track")))))</f>
        <v/>
      </c>
      <c r="S593" s="17" t="str">
        <f t="shared" si="38"/>
        <v/>
      </c>
      <c r="T593" s="36" t="str">
        <f t="shared" si="39"/>
        <v/>
      </c>
      <c r="U593" s="33">
        <f>IF(AND($O593="Open",OR(Dashboard!$D$3="All",$F593=Dashboard!$D$3)),$H593+ROW()/100000,0)</f>
        <v>0</v>
      </c>
    </row>
    <row r="594" spans="2:21" x14ac:dyDescent="0.25">
      <c r="B594" s="37"/>
      <c r="H594" s="38"/>
      <c r="I594" s="37"/>
      <c r="J594" s="39"/>
      <c r="K594" s="39"/>
      <c r="L594" s="39"/>
      <c r="N594" s="17" t="str">
        <f t="shared" si="36"/>
        <v/>
      </c>
      <c r="O594" s="17" t="str">
        <f t="shared" si="37"/>
        <v/>
      </c>
      <c r="P594" s="17" t="str">
        <f>IF($A594="","",IF($L594&lt;&gt;"",$L594,Settings!$C$3)-INT($B594))</f>
        <v/>
      </c>
      <c r="Q594" s="17" t="str">
        <f>IF($O594&lt;&gt;"Open","",Settings!$C$3-IF($J594&lt;&gt;"",$J594,INT($B594)))</f>
        <v/>
      </c>
      <c r="R594" s="17" t="str">
        <f>IF($A594="","",IF($O594="Closed","Closed",IF($F594="Unassigned","Unassigned",IF(AND($K594&lt;&gt;"",$K594&lt;Settings!$C$3),"Overdue",IF($Q594&gt;=Settings!$C$4,"Inactive","On Track")))))</f>
        <v/>
      </c>
      <c r="S594" s="17" t="str">
        <f t="shared" si="38"/>
        <v/>
      </c>
      <c r="T594" s="36" t="str">
        <f t="shared" si="39"/>
        <v/>
      </c>
      <c r="U594" s="33">
        <f>IF(AND($O594="Open",OR(Dashboard!$D$3="All",$F594=Dashboard!$D$3)),$H594+ROW()/100000,0)</f>
        <v>0</v>
      </c>
    </row>
    <row r="595" spans="2:21" x14ac:dyDescent="0.25">
      <c r="B595" s="37"/>
      <c r="H595" s="38"/>
      <c r="I595" s="37"/>
      <c r="J595" s="39"/>
      <c r="K595" s="39"/>
      <c r="L595" s="39"/>
      <c r="N595" s="17" t="str">
        <f t="shared" si="36"/>
        <v/>
      </c>
      <c r="O595" s="17" t="str">
        <f t="shared" si="37"/>
        <v/>
      </c>
      <c r="P595" s="17" t="str">
        <f>IF($A595="","",IF($L595&lt;&gt;"",$L595,Settings!$C$3)-INT($B595))</f>
        <v/>
      </c>
      <c r="Q595" s="17" t="str">
        <f>IF($O595&lt;&gt;"Open","",Settings!$C$3-IF($J595&lt;&gt;"",$J595,INT($B595)))</f>
        <v/>
      </c>
      <c r="R595" s="17" t="str">
        <f>IF($A595="","",IF($O595="Closed","Closed",IF($F595="Unassigned","Unassigned",IF(AND($K595&lt;&gt;"",$K595&lt;Settings!$C$3),"Overdue",IF($Q595&gt;=Settings!$C$4,"Inactive","On Track")))))</f>
        <v/>
      </c>
      <c r="S595" s="17" t="str">
        <f t="shared" si="38"/>
        <v/>
      </c>
      <c r="T595" s="36" t="str">
        <f t="shared" si="39"/>
        <v/>
      </c>
      <c r="U595" s="33">
        <f>IF(AND($O595="Open",OR(Dashboard!$D$3="All",$F595=Dashboard!$D$3)),$H595+ROW()/100000,0)</f>
        <v>0</v>
      </c>
    </row>
    <row r="596" spans="2:21" x14ac:dyDescent="0.25">
      <c r="B596" s="37"/>
      <c r="H596" s="38"/>
      <c r="I596" s="37"/>
      <c r="J596" s="39"/>
      <c r="K596" s="39"/>
      <c r="L596" s="39"/>
      <c r="N596" s="17" t="str">
        <f t="shared" si="36"/>
        <v/>
      </c>
      <c r="O596" s="17" t="str">
        <f t="shared" si="37"/>
        <v/>
      </c>
      <c r="P596" s="17" t="str">
        <f>IF($A596="","",IF($L596&lt;&gt;"",$L596,Settings!$C$3)-INT($B596))</f>
        <v/>
      </c>
      <c r="Q596" s="17" t="str">
        <f>IF($O596&lt;&gt;"Open","",Settings!$C$3-IF($J596&lt;&gt;"",$J596,INT($B596)))</f>
        <v/>
      </c>
      <c r="R596" s="17" t="str">
        <f>IF($A596="","",IF($O596="Closed","Closed",IF($F596="Unassigned","Unassigned",IF(AND($K596&lt;&gt;"",$K596&lt;Settings!$C$3),"Overdue",IF($Q596&gt;=Settings!$C$4,"Inactive","On Track")))))</f>
        <v/>
      </c>
      <c r="S596" s="17" t="str">
        <f t="shared" si="38"/>
        <v/>
      </c>
      <c r="T596" s="36" t="str">
        <f t="shared" si="39"/>
        <v/>
      </c>
      <c r="U596" s="33">
        <f>IF(AND($O596="Open",OR(Dashboard!$D$3="All",$F596=Dashboard!$D$3)),$H596+ROW()/100000,0)</f>
        <v>0</v>
      </c>
    </row>
    <row r="597" spans="2:21" x14ac:dyDescent="0.25">
      <c r="B597" s="37"/>
      <c r="H597" s="38"/>
      <c r="I597" s="37"/>
      <c r="J597" s="39"/>
      <c r="K597" s="39"/>
      <c r="L597" s="39"/>
      <c r="N597" s="17" t="str">
        <f t="shared" si="36"/>
        <v/>
      </c>
      <c r="O597" s="17" t="str">
        <f t="shared" si="37"/>
        <v/>
      </c>
      <c r="P597" s="17" t="str">
        <f>IF($A597="","",IF($L597&lt;&gt;"",$L597,Settings!$C$3)-INT($B597))</f>
        <v/>
      </c>
      <c r="Q597" s="17" t="str">
        <f>IF($O597&lt;&gt;"Open","",Settings!$C$3-IF($J597&lt;&gt;"",$J597,INT($B597)))</f>
        <v/>
      </c>
      <c r="R597" s="17" t="str">
        <f>IF($A597="","",IF($O597="Closed","Closed",IF($F597="Unassigned","Unassigned",IF(AND($K597&lt;&gt;"",$K597&lt;Settings!$C$3),"Overdue",IF($Q597&gt;=Settings!$C$4,"Inactive","On Track")))))</f>
        <v/>
      </c>
      <c r="S597" s="17" t="str">
        <f t="shared" si="38"/>
        <v/>
      </c>
      <c r="T597" s="36" t="str">
        <f t="shared" si="39"/>
        <v/>
      </c>
      <c r="U597" s="33">
        <f>IF(AND($O597="Open",OR(Dashboard!$D$3="All",$F597=Dashboard!$D$3)),$H597+ROW()/100000,0)</f>
        <v>0</v>
      </c>
    </row>
    <row r="598" spans="2:21" x14ac:dyDescent="0.25">
      <c r="B598" s="37"/>
      <c r="H598" s="38"/>
      <c r="I598" s="37"/>
      <c r="J598" s="39"/>
      <c r="K598" s="39"/>
      <c r="L598" s="39"/>
      <c r="N598" s="17" t="str">
        <f t="shared" si="36"/>
        <v/>
      </c>
      <c r="O598" s="17" t="str">
        <f t="shared" si="37"/>
        <v/>
      </c>
      <c r="P598" s="17" t="str">
        <f>IF($A598="","",IF($L598&lt;&gt;"",$L598,Settings!$C$3)-INT($B598))</f>
        <v/>
      </c>
      <c r="Q598" s="17" t="str">
        <f>IF($O598&lt;&gt;"Open","",Settings!$C$3-IF($J598&lt;&gt;"",$J598,INT($B598)))</f>
        <v/>
      </c>
      <c r="R598" s="17" t="str">
        <f>IF($A598="","",IF($O598="Closed","Closed",IF($F598="Unassigned","Unassigned",IF(AND($K598&lt;&gt;"",$K598&lt;Settings!$C$3),"Overdue",IF($Q598&gt;=Settings!$C$4,"Inactive","On Track")))))</f>
        <v/>
      </c>
      <c r="S598" s="17" t="str">
        <f t="shared" si="38"/>
        <v/>
      </c>
      <c r="T598" s="36" t="str">
        <f t="shared" si="39"/>
        <v/>
      </c>
      <c r="U598" s="33">
        <f>IF(AND($O598="Open",OR(Dashboard!$D$3="All",$F598=Dashboard!$D$3)),$H598+ROW()/100000,0)</f>
        <v>0</v>
      </c>
    </row>
    <row r="599" spans="2:21" x14ac:dyDescent="0.25">
      <c r="B599" s="37"/>
      <c r="H599" s="38"/>
      <c r="I599" s="37"/>
      <c r="J599" s="39"/>
      <c r="K599" s="39"/>
      <c r="L599" s="39"/>
      <c r="N599" s="17" t="str">
        <f t="shared" si="36"/>
        <v/>
      </c>
      <c r="O599" s="17" t="str">
        <f t="shared" si="37"/>
        <v/>
      </c>
      <c r="P599" s="17" t="str">
        <f>IF($A599="","",IF($L599&lt;&gt;"",$L599,Settings!$C$3)-INT($B599))</f>
        <v/>
      </c>
      <c r="Q599" s="17" t="str">
        <f>IF($O599&lt;&gt;"Open","",Settings!$C$3-IF($J599&lt;&gt;"",$J599,INT($B599)))</f>
        <v/>
      </c>
      <c r="R599" s="17" t="str">
        <f>IF($A599="","",IF($O599="Closed","Closed",IF($F599="Unassigned","Unassigned",IF(AND($K599&lt;&gt;"",$K599&lt;Settings!$C$3),"Overdue",IF($Q599&gt;=Settings!$C$4,"Inactive","On Track")))))</f>
        <v/>
      </c>
      <c r="S599" s="17" t="str">
        <f t="shared" si="38"/>
        <v/>
      </c>
      <c r="T599" s="36" t="str">
        <f t="shared" si="39"/>
        <v/>
      </c>
      <c r="U599" s="33">
        <f>IF(AND($O599="Open",OR(Dashboard!$D$3="All",$F599=Dashboard!$D$3)),$H599+ROW()/100000,0)</f>
        <v>0</v>
      </c>
    </row>
    <row r="600" spans="2:21" x14ac:dyDescent="0.25">
      <c r="B600" s="37"/>
      <c r="H600" s="38"/>
      <c r="I600" s="37"/>
      <c r="J600" s="39"/>
      <c r="K600" s="39"/>
      <c r="L600" s="39"/>
      <c r="N600" s="17" t="str">
        <f t="shared" si="36"/>
        <v/>
      </c>
      <c r="O600" s="17" t="str">
        <f t="shared" si="37"/>
        <v/>
      </c>
      <c r="P600" s="17" t="str">
        <f>IF($A600="","",IF($L600&lt;&gt;"",$L600,Settings!$C$3)-INT($B600))</f>
        <v/>
      </c>
      <c r="Q600" s="17" t="str">
        <f>IF($O600&lt;&gt;"Open","",Settings!$C$3-IF($J600&lt;&gt;"",$J600,INT($B600)))</f>
        <v/>
      </c>
      <c r="R600" s="17" t="str">
        <f>IF($A600="","",IF($O600="Closed","Closed",IF($F600="Unassigned","Unassigned",IF(AND($K600&lt;&gt;"",$K600&lt;Settings!$C$3),"Overdue",IF($Q600&gt;=Settings!$C$4,"Inactive","On Track")))))</f>
        <v/>
      </c>
      <c r="S600" s="17" t="str">
        <f t="shared" si="38"/>
        <v/>
      </c>
      <c r="T600" s="36" t="str">
        <f t="shared" si="39"/>
        <v/>
      </c>
      <c r="U600" s="33">
        <f>IF(AND($O600="Open",OR(Dashboard!$D$3="All",$F600=Dashboard!$D$3)),$H600+ROW()/100000,0)</f>
        <v>0</v>
      </c>
    </row>
  </sheetData>
  <autoFilter ref="A1:U600" xr:uid="{00000000-0009-0000-0000-000002000000}"/>
  <conditionalFormatting sqref="R2:R600">
    <cfRule type="expression" dxfId="3" priority="2">
      <formula>$R2="Overdue"</formula>
    </cfRule>
    <cfRule type="expression" dxfId="2" priority="3">
      <formula>$R2="Inactive"</formula>
    </cfRule>
    <cfRule type="expression" dxfId="1" priority="4">
      <formula>$R2="Unassigned"</formula>
    </cfRule>
    <cfRule type="expression" dxfId="0" priority="5">
      <formula>$R2="On Track"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200-000000000000}">
          <x14:formula1>
            <xm:f>Settings!$B$9:$B$15</xm:f>
          </x14:formula1>
          <x14:formula2>
            <xm:f>0</xm:f>
          </x14:formula2>
          <xm:sqref>F2:F600</xm:sqref>
        </x14:dataValidation>
        <x14:dataValidation type="list" allowBlank="1" xr:uid="{00000000-0002-0000-0200-000001000000}">
          <x14:formula1>
            <xm:f>Settings!$C$9:$C$16</xm:f>
          </x14:formula1>
          <x14:formula2>
            <xm:f>0</xm:f>
          </x14:formula2>
          <xm:sqref>C2:C600</xm:sqref>
        </x14:dataValidation>
        <x14:dataValidation type="list" allowBlank="1" xr:uid="{00000000-0002-0000-0200-000002000000}">
          <x14:formula1>
            <xm:f>Settings!$D$9:$D$14</xm:f>
          </x14:formula1>
          <x14:formula2>
            <xm:f>0</xm:f>
          </x14:formula2>
          <xm:sqref>G2:G600</xm:sqref>
        </x14:dataValidation>
        <x14:dataValidation type="list" allowBlank="1" xr:uid="{00000000-0002-0000-0200-000003000000}">
          <x14:formula1>
            <xm:f>Settings!$E$9:$E$14</xm:f>
          </x14:formula1>
          <x14:formula2>
            <xm:f>0</xm:f>
          </x14:formula2>
          <xm:sqref>E2:E600</xm:sqref>
        </x14:dataValidation>
        <x14:dataValidation type="list" allowBlank="1" xr:uid="{00000000-0002-0000-0200-000004000000}">
          <x14:formula1>
            <xm:f>Settings!$F$9:$F$14</xm:f>
          </x14:formula1>
          <x14:formula2>
            <xm:f>0</xm:f>
          </x14:formula2>
          <xm:sqref>M2:M600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9"/>
  <sheetViews>
    <sheetView zoomScaleNormal="100" workbookViewId="0">
      <selection activeCell="D21" sqref="D21"/>
    </sheetView>
  </sheetViews>
  <sheetFormatPr defaultColWidth="8.7109375" defaultRowHeight="15" x14ac:dyDescent="0.25"/>
  <cols>
    <col min="2" max="2" width="40" customWidth="1"/>
    <col min="3" max="7" width="24" customWidth="1"/>
  </cols>
  <sheetData>
    <row r="2" spans="2:7" ht="18" x14ac:dyDescent="0.25">
      <c r="B2" s="15" t="s">
        <v>551</v>
      </c>
    </row>
    <row r="3" spans="2:7" x14ac:dyDescent="0.25">
      <c r="B3" t="s">
        <v>552</v>
      </c>
      <c r="C3" s="40">
        <v>46314</v>
      </c>
      <c r="D3" s="41"/>
    </row>
    <row r="4" spans="2:7" x14ac:dyDescent="0.25">
      <c r="B4" t="s">
        <v>553</v>
      </c>
      <c r="C4" s="42">
        <v>7</v>
      </c>
      <c r="D4" s="41" t="s">
        <v>554</v>
      </c>
    </row>
    <row r="6" spans="2:7" x14ac:dyDescent="0.25">
      <c r="B6" s="41" t="s">
        <v>558</v>
      </c>
    </row>
    <row r="8" spans="2:7" x14ac:dyDescent="0.25">
      <c r="B8" s="43" t="s">
        <v>555</v>
      </c>
      <c r="C8" s="43" t="s">
        <v>92</v>
      </c>
      <c r="D8" s="43" t="s">
        <v>95</v>
      </c>
      <c r="E8" s="43" t="s">
        <v>93</v>
      </c>
      <c r="F8" s="43" t="s">
        <v>101</v>
      </c>
      <c r="G8" s="43" t="s">
        <v>556</v>
      </c>
    </row>
    <row r="9" spans="2:7" x14ac:dyDescent="0.25">
      <c r="B9" s="44" t="s">
        <v>80</v>
      </c>
      <c r="C9" s="44" t="s">
        <v>62</v>
      </c>
      <c r="D9" s="44" t="s">
        <v>45</v>
      </c>
      <c r="E9" s="44" t="s">
        <v>116</v>
      </c>
      <c r="F9" s="44" t="s">
        <v>73</v>
      </c>
      <c r="G9" s="44" t="s">
        <v>2</v>
      </c>
    </row>
    <row r="10" spans="2:7" x14ac:dyDescent="0.25">
      <c r="B10" s="44" t="s">
        <v>81</v>
      </c>
      <c r="C10" s="44" t="s">
        <v>63</v>
      </c>
      <c r="D10" s="44" t="s">
        <v>46</v>
      </c>
      <c r="E10" s="44" t="s">
        <v>110</v>
      </c>
      <c r="F10" s="44" t="s">
        <v>74</v>
      </c>
      <c r="G10" s="44" t="s">
        <v>80</v>
      </c>
    </row>
    <row r="11" spans="2:7" x14ac:dyDescent="0.25">
      <c r="B11" s="44" t="s">
        <v>82</v>
      </c>
      <c r="C11" s="44" t="s">
        <v>64</v>
      </c>
      <c r="D11" s="44" t="s">
        <v>47</v>
      </c>
      <c r="E11" s="44" t="s">
        <v>138</v>
      </c>
      <c r="F11" s="44" t="s">
        <v>75</v>
      </c>
      <c r="G11" s="44" t="s">
        <v>81</v>
      </c>
    </row>
    <row r="12" spans="2:7" x14ac:dyDescent="0.25">
      <c r="B12" s="44" t="s">
        <v>83</v>
      </c>
      <c r="C12" s="44" t="s">
        <v>65</v>
      </c>
      <c r="D12" s="44" t="s">
        <v>48</v>
      </c>
      <c r="E12" s="44" t="s">
        <v>147</v>
      </c>
      <c r="F12" s="44" t="s">
        <v>76</v>
      </c>
      <c r="G12" s="44" t="s">
        <v>82</v>
      </c>
    </row>
    <row r="13" spans="2:7" x14ac:dyDescent="0.25">
      <c r="B13" s="44" t="s">
        <v>84</v>
      </c>
      <c r="C13" s="44" t="s">
        <v>66</v>
      </c>
      <c r="D13" s="44" t="s">
        <v>17</v>
      </c>
      <c r="E13" s="44" t="s">
        <v>123</v>
      </c>
      <c r="F13" s="44" t="s">
        <v>77</v>
      </c>
      <c r="G13" s="44" t="s">
        <v>83</v>
      </c>
    </row>
    <row r="14" spans="2:7" x14ac:dyDescent="0.25">
      <c r="B14" s="44" t="s">
        <v>85</v>
      </c>
      <c r="C14" s="44" t="s">
        <v>67</v>
      </c>
      <c r="D14" s="44" t="s">
        <v>18</v>
      </c>
      <c r="E14" s="44" t="s">
        <v>113</v>
      </c>
      <c r="F14" s="44" t="s">
        <v>78</v>
      </c>
      <c r="G14" s="44" t="s">
        <v>84</v>
      </c>
    </row>
    <row r="15" spans="2:7" x14ac:dyDescent="0.25">
      <c r="B15" s="44" t="s">
        <v>86</v>
      </c>
      <c r="C15" s="44" t="s">
        <v>68</v>
      </c>
      <c r="G15" s="44" t="s">
        <v>85</v>
      </c>
    </row>
    <row r="16" spans="2:7" x14ac:dyDescent="0.25">
      <c r="C16" s="44" t="s">
        <v>69</v>
      </c>
      <c r="G16" s="44" t="s">
        <v>86</v>
      </c>
    </row>
    <row r="19" spans="2:2" x14ac:dyDescent="0.25">
      <c r="B19" s="45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Analysis</vt:lpstr>
      <vt:lpstr>Lead_Data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2026-10-19T07:36:59Z</dcterms:created>
  <dcterms:modified xsi:type="dcterms:W3CDTF">2026-10-21T07:50:00Z</dcterms:modified>
  <dc:language>en-US</dc:language>
</cp:coreProperties>
</file>